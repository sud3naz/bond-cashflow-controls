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8185040c9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3eb85eb6b054e44"/>
    <x:sheet xmlns:r="http://schemas.openxmlformats.org/officeDocument/2006/relationships" name="Assumptions" sheetId="2" r:id="R14c4205688204355"/>
    <x:sheet xmlns:r="http://schemas.openxmlformats.org/officeDocument/2006/relationships" name="Payment_Schedule" sheetId="3" r:id="Ree3228f85c8e4b3f"/>
    <x:sheet xmlns:r="http://schemas.openxmlformats.org/officeDocument/2006/relationships" name="Source_Data" sheetId="4" r:id="R720bf63cd7704e9c"/>
    <x:sheet xmlns:r="http://schemas.openxmlformats.org/officeDocument/2006/relationships" name="Checks" sheetId="5" r:id="Rcc086ec4a11e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(#,##0.00);&quot;-&quot;"/>
    <x:numFmt numFmtId="202" formatCode="0.00%"/>
    <x:numFmt numFmtId="203" formatCode="yyyy-mm"/>
    <x:numFmt numFmtId="204" formatCode="0.0%"/>
    <x:numFmt numFmtId="205" formatCode="0.00;(0.00);0.00"/>
  </x:numFmts>
  <x:fonts count="9">
    <x:font>
      <x:sz val="11"/>
      <x:name val="Carlito"/>
    </x:font>
    <x:font>
      <x:sz val="10"/>
      <x:color rgb="FF24394F"/>
      <x:name val="Arial"/>
    </x:font>
    <x:font>
      <x:b/>
      <x:sz val="15"/>
      <x:color rgb="FF24394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color rgb="FF24394F"/>
      <x:name val="Arial"/>
    </x:font>
    <x:font>
      <x:i/>
      <x:sz val="10"/>
      <x:color rgb="FF2439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94F"/>
      </x:patternFill>
    </x:fill>
    <x:fill>
      <x:patternFill patternType="solid">
        <x:fgColor rgb="FFFFF2CC"/>
      </x:patternFill>
    </x:fill>
    <x:fill>
      <x:patternFill patternType="solid">
        <x:fgColor rgb="FFE9EEF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4394F"/>
      </x:bottom>
      <x:diagonal/>
    </x:border>
    <x:border>
      <x:left/>
      <x:right/>
      <x:top style="thin">
        <x:color rgb="FF24394F"/>
      </x:top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201" fontId="7" fillId="4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aec29937a4b32" /><Relationship Type="http://schemas.openxmlformats.org/officeDocument/2006/relationships/theme" Target="/xl/theme/theme1.xml" Id="R003f5ce50a3a4974" /><Relationship Type="http://schemas.openxmlformats.org/officeDocument/2006/relationships/sharedStrings" Target="/xl/sharedStrings.xml" Id="R8524f32a5d1d437a" /><Relationship Type="http://schemas.openxmlformats.org/officeDocument/2006/relationships/worksheet" Target="/xl/worksheets/sheet1.xml" Id="R33eb85eb6b054e44" /><Relationship Type="http://schemas.openxmlformats.org/officeDocument/2006/relationships/worksheet" Target="/xl/worksheets/sheet2.xml" Id="R14c4205688204355" /><Relationship Type="http://schemas.openxmlformats.org/officeDocument/2006/relationships/worksheet" Target="/xl/worksheets/sheet3.xml" Id="Ree3228f85c8e4b3f" /><Relationship Type="http://schemas.openxmlformats.org/officeDocument/2006/relationships/worksheet" Target="/xl/worksheets/sheet4.xml" Id="R720bf63cd7704e9c" /><Relationship Type="http://schemas.openxmlformats.org/officeDocument/2006/relationships/worksheet" Target="/xl/worksheets/sheet5.xml" Id="Rcc086ec4a11e4a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bf828f2cce4d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Remaining monthly gross cash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Remaining total USD</c:v>
          </c:tx>
          <c:spPr>
            <a:solidFill xmlns:a="http://schemas.openxmlformats.org/drawingml/2006/main">
              <a:srgbClr val="4B7398"/>
            </a:solidFill>
          </c:spPr>
          <c:invertIfNegative val="0"/>
          <c:cat>
            <c:strRef>
              <c:f>'Overview'!$M$14:$M$33</c:f>
              <c:strCache>
                <c:ptCount val="0"/>
              </c:strCache>
            </c:strRef>
          </c:cat>
          <c:val>
            <c:numRef>
              <c:f>'Overview'!$D$14:$D$33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bf828f2cce4d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41ac50a8ab43af" /></Relationships>
</file>

<file path=xl/worksheets/sheet1.xml><?xml version="1.0" encoding="utf-8"?>
<x:worksheet xmlns:x="http://schemas.openxmlformats.org/spreadsheetml/2006/main">
  <x:sheetPr>
    <x:tabColor rgb="FF24394F"/>
  </x:sheetPr>
  <x:sheetViews>
    <x:sheetView showGridLines="0" workbookViewId="0"/>
  </x:sheetViews>
  <x:sheetFormatPr defaultRowHeight="15"/>
  <x:cols>
    <x:col min="1" max="1" width="26.110000610351562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2.7799999713897705" hidden="0" customWidth="1"/>
    <x:col min="6" max="6" width="26.110000610351562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2.779999971389770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Bond cash flow and payment controls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Reporting date</x:v>
      </x:c>
      <x:c r="B4" s="2"/>
      <x:c r="C4" s="5" t="n">
        <x:f>'Assumptions'!C4</x:f>
        <x:v>46317</x:v>
      </x:c>
      <x:c r="D4" s="2"/>
      <x:c r="E4" s="2"/>
      <x:c r="F4" s="2" t="str">
        <x:v>5 real bonds, hypothetical holdings</x:v>
      </x:c>
      <x:c r="G4" s="2"/>
      <x:c r="H4" s="2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 t="str">
        <x:v>Remaining gross coupons USD</x:v>
      </x:c>
      <x:c r="B6" s="2"/>
      <x:c r="C6" s="15" t="n">
        <x:f>IF(AND(ISNUMBER($C$4),COUNT('Payment_Schedule'!$I$8:$I$19)=12),SUMIFS('Payment_Schedule'!$G$8:$G$19,'Payment_Schedule'!$C$8:$C$19,"&gt;"&amp;$C$4),"n.a.")</x:f>
        <x:v>3843.5</x:v>
      </x:c>
      <x:c r="D6" s="2"/>
      <x:c r="E6" s="2"/>
      <x:c r="F6" s="2" t="str">
        <x:v>Next 30 days gross cash USD</x:v>
      </x:c>
      <x:c r="G6" s="2"/>
      <x:c r="H6" s="2"/>
      <x:c r="I6" s="15" t="n">
        <x:f>IF(AND(ISNUMBER($C$4),COUNT('Payment_Schedule'!$I$8:$I$19)=12),SUMIFS('Payment_Schedule'!$I$8:$I$19,'Payment_Schedule'!$C$8:$C$19,"&gt;"&amp;$C$4,'Payment_Schedule'!$C$8:$C$19,"&lt;="&amp;($C$4+30)),"n.a.")</x:f>
        <x:v>260</x:v>
      </x:c>
      <x:c r="J6" s="2"/>
      <x:c r="K6" s="2"/>
    </x:row>
    <x:row r="7" ht="23" customHeight="1">
      <x:c r="A7" s="2" t="str">
        <x:v>Remaining principal USD</x:v>
      </x:c>
      <x:c r="B7" s="2"/>
      <x:c r="C7" s="15" t="n">
        <x:f>IF(AND(ISNUMBER($C$4),COUNT('Payment_Schedule'!$I$8:$I$19)=12),SUMIFS('Payment_Schedule'!$H$8:$H$19,'Payment_Schedule'!$C$8:$C$19,"&gt;"&amp;$C$4),"n.a.")</x:f>
        <x:v>70000</x:v>
      </x:c>
      <x:c r="D7" s="2"/>
      <x:c r="E7" s="2"/>
      <x:c r="F7" s="2" t="str">
        <x:v>Next 90 days gross cash USD</x:v>
      </x:c>
      <x:c r="G7" s="2"/>
      <x:c r="H7" s="2"/>
      <x:c r="I7" s="15" t="n">
        <x:f>IF(AND(ISNUMBER($C$4),COUNT('Payment_Schedule'!$I$8:$I$19)=12),SUMIFS('Payment_Schedule'!$I$8:$I$19,'Payment_Schedule'!$C$8:$C$19,"&gt;"&amp;$C$4,'Payment_Schedule'!$C$8:$C$19,"&lt;="&amp;($C$4+90)),"n.a.")</x:f>
        <x:v>780</x:v>
      </x:c>
      <x:c r="J7" s="2"/>
      <x:c r="K7" s="2"/>
    </x:row>
    <x:row r="8" ht="23" customHeight="1">
      <x:c r="A8" s="27" t="str">
        <x:v>Remaining gross cash USD</x:v>
      </x:c>
      <x:c r="B8" s="27"/>
      <x:c r="C8" s="28" t="n">
        <x:f>IF(AND(ISNUMBER($C$4),COUNT('Payment_Schedule'!$I$8:$I$19)=12),SUMIFS('Payment_Schedule'!$I$8:$I$19,'Payment_Schedule'!$C$8:$C$19,"&gt;"&amp;$C$4),"n.a.")</x:f>
        <x:v>73843.5</x:v>
      </x:c>
      <x:c r="D8" s="2"/>
      <x:c r="E8" s="2"/>
      <x:c r="F8" s="27" t="str">
        <x:v>Next 365 days gross cash USD</x:v>
      </x:c>
      <x:c r="G8" s="27"/>
      <x:c r="H8" s="27"/>
      <x:c r="I8" s="28" t="n">
        <x:f>IF(AND(ISNUMBER($C$4),COUNT('Payment_Schedule'!$I$8:$I$19)=12),SUMIFS('Payment_Schedule'!$I$8:$I$19,'Payment_Schedule'!$C$8:$C$19,"&gt;"&amp;$C$4,'Payment_Schedule'!$C$8:$C$19,"&lt;="&amp;($C$4+365)),"n.a.")</x:f>
        <x:v>63323.5</x:v>
      </x:c>
      <x:c r="J8" s="2"/>
      <x:c r="K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3" customHeight="1">
      <x:c r="A10" s="29" t="str">
        <x:v>Gross cash includes principal, not just income. The overlapping 30/90/365-day windows must not be added.</x:v>
      </x:c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32" customHeight="1">
      <x:c r="A13" s="9" t="str">
        <x:v>Month</x:v>
      </x:c>
      <x:c r="B13" s="9" t="str">
        <x:v>Remaining coupons USD</x:v>
      </x:c>
      <x:c r="C13" s="9" t="str">
        <x:v>Remaining principal USD</x:v>
      </x:c>
      <x:c r="D13" s="9" t="str">
        <x:v>Remaining total USD</x:v>
      </x:c>
      <x:c r="E13" s="2"/>
      <x:c r="F13" s="2"/>
      <x:c r="G13" s="2"/>
      <x:c r="H13" s="2"/>
      <x:c r="I13" s="2"/>
      <x:c r="J13" s="2"/>
      <x:c r="K13" s="2"/>
      <x:c r="M13" t="str">
        <x:v>Chart month</x:v>
      </x:c>
    </x:row>
    <x:row r="14" ht="23" customHeight="1">
      <x:c r="A14" s="30" t="n">
        <x:v>46296</x:v>
      </x:c>
      <x:c r="B14" s="15" t="n">
        <x:f>IF(AND(ISNUMBER($C$4),COUNT('Payment_Schedule'!$I$8:$I$19)=12),SUMIFS('Payment_Schedule'!$G$8:$G$19,'Payment_Schedule'!$C$8:$C$19,"&gt;="&amp;A14,'Payment_Schedule'!$C$8:$C$19,"&lt;"&amp;EDATE(A14,1),'Payment_Schedule'!$C$8:$C$19,"&gt;"&amp;$C$4),"n.a.")</x:f>
        <x:v>0</x:v>
      </x:c>
      <x:c r="C14" s="15" t="n">
        <x:f>IF(AND(ISNUMBER($C$4),COUNT('Payment_Schedule'!$I$8:$I$19)=12),SUMIFS('Payment_Schedule'!$H$8:$H$19,'Payment_Schedule'!$C$8:$C$19,"&gt;="&amp;A14,'Payment_Schedule'!$C$8:$C$19,"&lt;"&amp;EDATE(A14,1),'Payment_Schedule'!$C$8:$C$19,"&gt;"&amp;$C$4),"n.a.")</x:f>
        <x:v>0</x:v>
      </x:c>
      <x:c r="D14" s="15" t="n">
        <x:f>IF(AND(ISNUMBER($C$4),COUNT('Payment_Schedule'!$I$8:$I$19)=12),SUMIFS('Payment_Schedule'!$I$8:$I$19,'Payment_Schedule'!$C$8:$C$19,"&gt;="&amp;A14,'Payment_Schedule'!$C$8:$C$19,"&lt;"&amp;EDATE(A14,1),'Payment_Schedule'!$C$8:$C$19,"&gt;"&amp;$C$4),"n.a.")</x:f>
        <x:v>0</x:v>
      </x:c>
      <x:c r="E14" s="2"/>
      <x:c r="F14" s="2"/>
      <x:c r="G14" s="2"/>
      <x:c r="H14" s="2"/>
      <x:c r="I14" s="2"/>
      <x:c r="J14" s="2"/>
      <x:c r="K14" s="2"/>
      <x:c r="M14" t="str">
        <x:f>TEXT(A14,"yyyy-mm")</x:f>
        <x:v>2026-10</x:v>
      </x:c>
    </x:row>
    <x:row r="15" ht="23" customHeight="1">
      <x:c r="A15" s="30" t="n">
        <x:v>46327</x:v>
      </x:c>
      <x:c r="B15" s="15" t="n">
        <x:f>IF(AND(ISNUMBER($C$4),COUNT('Payment_Schedule'!$I$8:$I$19)=12),SUMIFS('Payment_Schedule'!$G$8:$G$19,'Payment_Schedule'!$C$8:$C$19,"&gt;="&amp;A15,'Payment_Schedule'!$C$8:$C$19,"&lt;"&amp;EDATE(A15,1),'Payment_Schedule'!$C$8:$C$19,"&gt;"&amp;$C$4),"n.a.")</x:f>
        <x:v>260</x:v>
      </x:c>
      <x:c r="C15" s="15" t="n">
        <x:f>IF(AND(ISNUMBER($C$4),COUNT('Payment_Schedule'!$I$8:$I$19)=12),SUMIFS('Payment_Schedule'!$H$8:$H$19,'Payment_Schedule'!$C$8:$C$19,"&gt;="&amp;A15,'Payment_Schedule'!$C$8:$C$19,"&lt;"&amp;EDATE(A15,1),'Payment_Schedule'!$C$8:$C$19,"&gt;"&amp;$C$4),"n.a.")</x:f>
        <x:v>0</x:v>
      </x:c>
      <x:c r="D15" s="15" t="n">
        <x:f>IF(AND(ISNUMBER($C$4),COUNT('Payment_Schedule'!$I$8:$I$19)=12),SUMIFS('Payment_Schedule'!$I$8:$I$19,'Payment_Schedule'!$C$8:$C$19,"&gt;="&amp;A15,'Payment_Schedule'!$C$8:$C$19,"&lt;"&amp;EDATE(A15,1),'Payment_Schedule'!$C$8:$C$19,"&gt;"&amp;$C$4),"n.a.")</x:f>
        <x:v>260</x:v>
      </x:c>
      <x:c r="E15" s="2"/>
      <x:c r="F15" s="2"/>
      <x:c r="G15" s="2"/>
      <x:c r="H15" s="2"/>
      <x:c r="I15" s="2"/>
      <x:c r="J15" s="2"/>
      <x:c r="K15" s="2"/>
      <x:c r="M15" t="str">
        <x:f>TEXT(A15,"yyyy-mm")</x:f>
        <x:v>2026-11</x:v>
      </x:c>
    </x:row>
    <x:row r="16" ht="23" customHeight="1">
      <x:c r="A16" s="30" t="n">
        <x:v>46357</x:v>
      </x:c>
      <x:c r="B16" s="15" t="n">
        <x:f>IF(AND(ISNUMBER($C$4),COUNT('Payment_Schedule'!$I$8:$I$19)=12),SUMIFS('Payment_Schedule'!$G$8:$G$19,'Payment_Schedule'!$C$8:$C$19,"&gt;="&amp;A16,'Payment_Schedule'!$C$8:$C$19,"&lt;"&amp;EDATE(A16,1),'Payment_Schedule'!$C$8:$C$19,"&gt;"&amp;$C$4),"n.a.")</x:f>
        <x:v>520</x:v>
      </x:c>
      <x:c r="C16" s="15" t="n">
        <x:f>IF(AND(ISNUMBER($C$4),COUNT('Payment_Schedule'!$I$8:$I$19)=12),SUMIFS('Payment_Schedule'!$H$8:$H$19,'Payment_Schedule'!$C$8:$C$19,"&gt;="&amp;A16,'Payment_Schedule'!$C$8:$C$19,"&lt;"&amp;EDATE(A16,1),'Payment_Schedule'!$C$8:$C$19,"&gt;"&amp;$C$4),"n.a.")</x:f>
        <x:v>0</x:v>
      </x:c>
      <x:c r="D16" s="15" t="n">
        <x:f>IF(AND(ISNUMBER($C$4),COUNT('Payment_Schedule'!$I$8:$I$19)=12),SUMIFS('Payment_Schedule'!$I$8:$I$19,'Payment_Schedule'!$C$8:$C$19,"&gt;="&amp;A16,'Payment_Schedule'!$C$8:$C$19,"&lt;"&amp;EDATE(A16,1),'Payment_Schedule'!$C$8:$C$19,"&gt;"&amp;$C$4),"n.a.")</x:f>
        <x:v>520</x:v>
      </x:c>
      <x:c r="E16" s="2"/>
      <x:c r="F16" s="2"/>
      <x:c r="G16" s="2"/>
      <x:c r="H16" s="2"/>
      <x:c r="I16" s="2"/>
      <x:c r="J16" s="2"/>
      <x:c r="K16" s="2"/>
      <x:c r="M16" t="str">
        <x:f>TEXT(A16,"yyyy-mm")</x:f>
        <x:v>2026-12</x:v>
      </x:c>
    </x:row>
    <x:row r="17" ht="23" customHeight="1">
      <x:c r="A17" s="30" t="n">
        <x:v>46388</x:v>
      </x:c>
      <x:c r="B17" s="15" t="n">
        <x:f>IF(AND(ISNUMBER($C$4),COUNT('Payment_Schedule'!$I$8:$I$19)=12),SUMIFS('Payment_Schedule'!$G$8:$G$19,'Payment_Schedule'!$C$8:$C$19,"&gt;="&amp;A17,'Payment_Schedule'!$C$8:$C$19,"&lt;"&amp;EDATE(A17,1),'Payment_Schedule'!$C$8:$C$19,"&gt;"&amp;$C$4),"n.a.")</x:f>
        <x:v>0</x:v>
      </x:c>
      <x:c r="C17" s="15" t="n">
        <x:f>IF(AND(ISNUMBER($C$4),COUNT('Payment_Schedule'!$I$8:$I$19)=12),SUMIFS('Payment_Schedule'!$H$8:$H$19,'Payment_Schedule'!$C$8:$C$19,"&gt;="&amp;A17,'Payment_Schedule'!$C$8:$C$19,"&lt;"&amp;EDATE(A17,1),'Payment_Schedule'!$C$8:$C$19,"&gt;"&amp;$C$4),"n.a.")</x:f>
        <x:v>0</x:v>
      </x:c>
      <x:c r="D17" s="15" t="n">
        <x:f>IF(AND(ISNUMBER($C$4),COUNT('Payment_Schedule'!$I$8:$I$19)=12),SUMIFS('Payment_Schedule'!$I$8:$I$19,'Payment_Schedule'!$C$8:$C$19,"&gt;="&amp;A17,'Payment_Schedule'!$C$8:$C$19,"&lt;"&amp;EDATE(A17,1),'Payment_Schedule'!$C$8:$C$19,"&gt;"&amp;$C$4),"n.a.")</x:f>
        <x:v>0</x:v>
      </x:c>
      <x:c r="E17" s="2"/>
      <x:c r="F17" s="2"/>
      <x:c r="G17" s="2"/>
      <x:c r="H17" s="2"/>
      <x:c r="I17" s="2"/>
      <x:c r="J17" s="2"/>
      <x:c r="K17" s="2"/>
      <x:c r="M17" t="str">
        <x:f>TEXT(A17,"yyyy-mm")</x:f>
        <x:v>2027-01</x:v>
      </x:c>
    </x:row>
    <x:row r="18" ht="23" customHeight="1">
      <x:c r="A18" s="30" t="n">
        <x:v>46419</x:v>
      </x:c>
      <x:c r="B18" s="15" t="n">
        <x:f>IF(AND(ISNUMBER($C$4),COUNT('Payment_Schedule'!$I$8:$I$19)=12),SUMIFS('Payment_Schedule'!$G$8:$G$19,'Payment_Schedule'!$C$8:$C$19,"&gt;="&amp;A18,'Payment_Schedule'!$C$8:$C$19,"&lt;"&amp;EDATE(A18,1),'Payment_Schedule'!$C$8:$C$19,"&gt;"&amp;$C$4),"n.a.")</x:f>
        <x:v>272</x:v>
      </x:c>
      <x:c r="C18" s="15" t="n">
        <x:f>IF(AND(ISNUMBER($C$4),COUNT('Payment_Schedule'!$I$8:$I$19)=12),SUMIFS('Payment_Schedule'!$H$8:$H$19,'Payment_Schedule'!$C$8:$C$19,"&gt;="&amp;A18,'Payment_Schedule'!$C$8:$C$19,"&lt;"&amp;EDATE(A18,1),'Payment_Schedule'!$C$8:$C$19,"&gt;"&amp;$C$4),"n.a.")</x:f>
        <x:v>0</x:v>
      </x:c>
      <x:c r="D18" s="15" t="n">
        <x:f>IF(AND(ISNUMBER($C$4),COUNT('Payment_Schedule'!$I$8:$I$19)=12),SUMIFS('Payment_Schedule'!$I$8:$I$19,'Payment_Schedule'!$C$8:$C$19,"&gt;="&amp;A18,'Payment_Schedule'!$C$8:$C$19,"&lt;"&amp;EDATE(A18,1),'Payment_Schedule'!$C$8:$C$19,"&gt;"&amp;$C$4),"n.a.")</x:f>
        <x:v>272</x:v>
      </x:c>
      <x:c r="E18" s="2"/>
      <x:c r="F18" s="2"/>
      <x:c r="G18" s="2"/>
      <x:c r="H18" s="2"/>
      <x:c r="I18" s="2"/>
      <x:c r="J18" s="2"/>
      <x:c r="K18" s="2"/>
      <x:c r="M18" t="str">
        <x:f>TEXT(A18,"yyyy-mm")</x:f>
        <x:v>2027-02</x:v>
      </x:c>
    </x:row>
    <x:row r="19" ht="23" customHeight="1">
      <x:c r="A19" s="30" t="n">
        <x:v>46447</x:v>
      </x:c>
      <x:c r="B19" s="15" t="n">
        <x:f>IF(AND(ISNUMBER($C$4),COUNT('Payment_Schedule'!$I$8:$I$19)=12),SUMIFS('Payment_Schedule'!$G$8:$G$19,'Payment_Schedule'!$C$8:$C$19,"&gt;="&amp;A19,'Payment_Schedule'!$C$8:$C$19,"&lt;"&amp;EDATE(A19,1),'Payment_Schedule'!$C$8:$C$19,"&gt;"&amp;$C$4),"n.a.")</x:f>
        <x:v>0</x:v>
      </x:c>
      <x:c r="C19" s="15" t="n">
        <x:f>IF(AND(ISNUMBER($C$4),COUNT('Payment_Schedule'!$I$8:$I$19)=12),SUMIFS('Payment_Schedule'!$H$8:$H$19,'Payment_Schedule'!$C$8:$C$19,"&gt;="&amp;A19,'Payment_Schedule'!$C$8:$C$19,"&lt;"&amp;EDATE(A19,1),'Payment_Schedule'!$C$8:$C$19,"&gt;"&amp;$C$4),"n.a.")</x:f>
        <x:v>0</x:v>
      </x:c>
      <x:c r="D19" s="15" t="n">
        <x:f>IF(AND(ISNUMBER($C$4),COUNT('Payment_Schedule'!$I$8:$I$19)=12),SUMIFS('Payment_Schedule'!$I$8:$I$19,'Payment_Schedule'!$C$8:$C$19,"&gt;="&amp;A19,'Payment_Schedule'!$C$8:$C$19,"&lt;"&amp;EDATE(A19,1),'Payment_Schedule'!$C$8:$C$19,"&gt;"&amp;$C$4),"n.a.")</x:f>
        <x:v>0</x:v>
      </x:c>
      <x:c r="E19" s="2"/>
      <x:c r="F19" s="2"/>
      <x:c r="G19" s="2"/>
      <x:c r="H19" s="2"/>
      <x:c r="I19" s="2"/>
      <x:c r="J19" s="2"/>
      <x:c r="K19" s="2"/>
      <x:c r="M19" t="str">
        <x:f>TEXT(A19,"yyyy-mm")</x:f>
        <x:v>2027-03</x:v>
      </x:c>
    </x:row>
    <x:row r="20" ht="23" customHeight="1">
      <x:c r="A20" s="30" t="n">
        <x:v>46478</x:v>
      </x:c>
      <x:c r="B20" s="15" t="n">
        <x:f>IF(AND(ISNUMBER($C$4),COUNT('Payment_Schedule'!$I$8:$I$19)=12),SUMIFS('Payment_Schedule'!$G$8:$G$19,'Payment_Schedule'!$C$8:$C$19,"&gt;="&amp;A20,'Payment_Schedule'!$C$8:$C$19,"&lt;"&amp;EDATE(A20,1),'Payment_Schedule'!$C$8:$C$19,"&gt;"&amp;$C$4),"n.a.")</x:f>
        <x:v>777</x:v>
      </x:c>
      <x:c r="C20" s="15" t="n">
        <x:f>IF(AND(ISNUMBER($C$4),COUNT('Payment_Schedule'!$I$8:$I$19)=12),SUMIFS('Payment_Schedule'!$H$8:$H$19,'Payment_Schedule'!$C$8:$C$19,"&gt;="&amp;A20,'Payment_Schedule'!$C$8:$C$19,"&lt;"&amp;EDATE(A20,1),'Payment_Schedule'!$C$8:$C$19,"&gt;"&amp;$C$4),"n.a.")</x:f>
        <x:v>15000</x:v>
      </x:c>
      <x:c r="D20" s="15" t="n">
        <x:f>IF(AND(ISNUMBER($C$4),COUNT('Payment_Schedule'!$I$8:$I$19)=12),SUMIFS('Payment_Schedule'!$I$8:$I$19,'Payment_Schedule'!$C$8:$C$19,"&gt;="&amp;A20,'Payment_Schedule'!$C$8:$C$19,"&lt;"&amp;EDATE(A20,1),'Payment_Schedule'!$C$8:$C$19,"&gt;"&amp;$C$4),"n.a.")</x:f>
        <x:v>15777</x:v>
      </x:c>
      <x:c r="E20" s="2"/>
      <x:c r="F20" s="2"/>
      <x:c r="G20" s="2"/>
      <x:c r="H20" s="2"/>
      <x:c r="I20" s="2"/>
      <x:c r="J20" s="2"/>
      <x:c r="K20" s="2"/>
      <x:c r="M20" t="str">
        <x:f>TEXT(A20,"yyyy-mm")</x:f>
        <x:v>2027-04</x:v>
      </x:c>
    </x:row>
    <x:row r="21" ht="23" customHeight="1">
      <x:c r="A21" s="30" t="n">
        <x:v>46508</x:v>
      </x:c>
      <x:c r="B21" s="15" t="n">
        <x:f>IF(AND(ISNUMBER($C$4),COUNT('Payment_Schedule'!$I$8:$I$19)=12),SUMIFS('Payment_Schedule'!$G$8:$G$19,'Payment_Schedule'!$C$8:$C$19,"&gt;="&amp;A21,'Payment_Schedule'!$C$8:$C$19,"&lt;"&amp;EDATE(A21,1),'Payment_Schedule'!$C$8:$C$19,"&gt;"&amp;$C$4),"n.a.")</x:f>
        <x:v>260</x:v>
      </x:c>
      <x:c r="C21" s="15" t="n">
        <x:f>IF(AND(ISNUMBER($C$4),COUNT('Payment_Schedule'!$I$8:$I$19)=12),SUMIFS('Payment_Schedule'!$H$8:$H$19,'Payment_Schedule'!$C$8:$C$19,"&gt;="&amp;A21,'Payment_Schedule'!$C$8:$C$19,"&lt;"&amp;EDATE(A21,1),'Payment_Schedule'!$C$8:$C$19,"&gt;"&amp;$C$4),"n.a.")</x:f>
        <x:v>0</x:v>
      </x:c>
      <x:c r="D21" s="15" t="n">
        <x:f>IF(AND(ISNUMBER($C$4),COUNT('Payment_Schedule'!$I$8:$I$19)=12),SUMIFS('Payment_Schedule'!$I$8:$I$19,'Payment_Schedule'!$C$8:$C$19,"&gt;="&amp;A21,'Payment_Schedule'!$C$8:$C$19,"&lt;"&amp;EDATE(A21,1),'Payment_Schedule'!$C$8:$C$19,"&gt;"&amp;$C$4),"n.a.")</x:f>
        <x:v>260</x:v>
      </x:c>
      <x:c r="E21" s="2"/>
      <x:c r="F21" s="2"/>
      <x:c r="G21" s="2"/>
      <x:c r="H21" s="2"/>
      <x:c r="I21" s="2"/>
      <x:c r="J21" s="2"/>
      <x:c r="K21" s="2"/>
      <x:c r="M21" t="str">
        <x:f>TEXT(A21,"yyyy-mm")</x:f>
        <x:v>2027-05</x:v>
      </x:c>
    </x:row>
    <x:row r="22" ht="23" customHeight="1">
      <x:c r="A22" s="30" t="n">
        <x:v>46539</x:v>
      </x:c>
      <x:c r="B22" s="15" t="n">
        <x:f>IF(AND(ISNUMBER($C$4),COUNT('Payment_Schedule'!$I$8:$I$19)=12),SUMIFS('Payment_Schedule'!$G$8:$G$19,'Payment_Schedule'!$C$8:$C$19,"&gt;="&amp;A22,'Payment_Schedule'!$C$8:$C$19,"&lt;"&amp;EDATE(A22,1),'Payment_Schedule'!$C$8:$C$19,"&gt;"&amp;$C$4),"n.a.")</x:f>
        <x:v>520</x:v>
      </x:c>
      <x:c r="C22" s="15" t="n">
        <x:f>IF(AND(ISNUMBER($C$4),COUNT('Payment_Schedule'!$I$8:$I$19)=12),SUMIFS('Payment_Schedule'!$H$8:$H$19,'Payment_Schedule'!$C$8:$C$19,"&gt;="&amp;A22,'Payment_Schedule'!$C$8:$C$19,"&lt;"&amp;EDATE(A22,1),'Payment_Schedule'!$C$8:$C$19,"&gt;"&amp;$C$4),"n.a.")</x:f>
        <x:v>20000</x:v>
      </x:c>
      <x:c r="D22" s="15" t="n">
        <x:f>IF(AND(ISNUMBER($C$4),COUNT('Payment_Schedule'!$I$8:$I$19)=12),SUMIFS('Payment_Schedule'!$I$8:$I$19,'Payment_Schedule'!$C$8:$C$19,"&gt;="&amp;A22,'Payment_Schedule'!$C$8:$C$19,"&lt;"&amp;EDATE(A22,1),'Payment_Schedule'!$C$8:$C$19,"&gt;"&amp;$C$4),"n.a.")</x:f>
        <x:v>20520</x:v>
      </x:c>
      <x:c r="E22" s="2"/>
      <x:c r="F22" s="2"/>
      <x:c r="G22" s="2"/>
      <x:c r="H22" s="2"/>
      <x:c r="I22" s="2"/>
      <x:c r="J22" s="2"/>
      <x:c r="K22" s="2"/>
      <x:c r="M22" t="str">
        <x:f>TEXT(A22,"yyyy-mm")</x:f>
        <x:v>2027-06</x:v>
      </x:c>
    </x:row>
    <x:row r="23" ht="23" customHeight="1">
      <x:c r="A23" s="30" t="n">
        <x:v>46569</x:v>
      </x:c>
      <x:c r="B23" s="15" t="n">
        <x:f>IF(AND(ISNUMBER($C$4),COUNT('Payment_Schedule'!$I$8:$I$19)=12),SUMIFS('Payment_Schedule'!$G$8:$G$19,'Payment_Schedule'!$C$8:$C$19,"&gt;="&amp;A23,'Payment_Schedule'!$C$8:$C$19,"&lt;"&amp;EDATE(A23,1),'Payment_Schedule'!$C$8:$C$19,"&gt;"&amp;$C$4),"n.a.")</x:f>
        <x:v>0</x:v>
      </x:c>
      <x:c r="C23" s="15" t="n">
        <x:f>IF(AND(ISNUMBER($C$4),COUNT('Payment_Schedule'!$I$8:$I$19)=12),SUMIFS('Payment_Schedule'!$H$8:$H$19,'Payment_Schedule'!$C$8:$C$19,"&gt;="&amp;A23,'Payment_Schedule'!$C$8:$C$19,"&lt;"&amp;EDATE(A23,1),'Payment_Schedule'!$C$8:$C$19,"&gt;"&amp;$C$4),"n.a.")</x:f>
        <x:v>0</x:v>
      </x:c>
      <x:c r="D23" s="15" t="n">
        <x:f>IF(AND(ISNUMBER($C$4),COUNT('Payment_Schedule'!$I$8:$I$19)=12),SUMIFS('Payment_Schedule'!$I$8:$I$19,'Payment_Schedule'!$C$8:$C$19,"&gt;="&amp;A23,'Payment_Schedule'!$C$8:$C$19,"&lt;"&amp;EDATE(A23,1),'Payment_Schedule'!$C$8:$C$19,"&gt;"&amp;$C$4),"n.a.")</x:f>
        <x:v>0</x:v>
      </x:c>
      <x:c r="E23" s="2"/>
      <x:c r="F23" s="2"/>
      <x:c r="G23" s="2"/>
      <x:c r="H23" s="2"/>
      <x:c r="I23" s="2"/>
      <x:c r="J23" s="2"/>
      <x:c r="K23" s="2"/>
      <x:c r="M23" t="str">
        <x:f>TEXT(A23,"yyyy-mm")</x:f>
        <x:v>2027-07</x:v>
      </x:c>
    </x:row>
    <x:row r="24" ht="23" customHeight="1">
      <x:c r="A24" s="30" t="n">
        <x:v>46600</x:v>
      </x:c>
      <x:c r="B24" s="15" t="n">
        <x:f>IF(AND(ISNUMBER($C$4),COUNT('Payment_Schedule'!$I$8:$I$19)=12),SUMIFS('Payment_Schedule'!$G$8:$G$19,'Payment_Schedule'!$C$8:$C$19,"&gt;="&amp;A24,'Payment_Schedule'!$C$8:$C$19,"&lt;"&amp;EDATE(A24,1),'Payment_Schedule'!$C$8:$C$19,"&gt;"&amp;$C$4),"n.a.")</x:f>
        <x:v>272</x:v>
      </x:c>
      <x:c r="C24" s="15" t="n">
        <x:f>IF(AND(ISNUMBER($C$4),COUNT('Payment_Schedule'!$I$8:$I$19)=12),SUMIFS('Payment_Schedule'!$H$8:$H$19,'Payment_Schedule'!$C$8:$C$19,"&gt;="&amp;A24,'Payment_Schedule'!$C$8:$C$19,"&lt;"&amp;EDATE(A24,1),'Payment_Schedule'!$C$8:$C$19,"&gt;"&amp;$C$4),"n.a.")</x:f>
        <x:v>10000</x:v>
      </x:c>
      <x:c r="D24" s="15" t="n">
        <x:f>IF(AND(ISNUMBER($C$4),COUNT('Payment_Schedule'!$I$8:$I$19)=12),SUMIFS('Payment_Schedule'!$I$8:$I$19,'Payment_Schedule'!$C$8:$C$19,"&gt;="&amp;A24,'Payment_Schedule'!$C$8:$C$19,"&lt;"&amp;EDATE(A24,1),'Payment_Schedule'!$C$8:$C$19,"&gt;"&amp;$C$4),"n.a.")</x:f>
        <x:v>10272</x:v>
      </x:c>
      <x:c r="E24" s="2"/>
      <x:c r="F24" s="2"/>
      <x:c r="G24" s="2"/>
      <x:c r="H24" s="2"/>
      <x:c r="I24" s="2"/>
      <x:c r="J24" s="2"/>
      <x:c r="K24" s="2"/>
      <x:c r="M24" t="str">
        <x:f>TEXT(A24,"yyyy-mm")</x:f>
        <x:v>2027-08</x:v>
      </x:c>
    </x:row>
    <x:row r="25" ht="23" customHeight="1">
      <x:c r="A25" s="30" t="n">
        <x:v>46631</x:v>
      </x:c>
      <x:c r="B25" s="15" t="n">
        <x:f>IF(AND(ISNUMBER($C$4),COUNT('Payment_Schedule'!$I$8:$I$19)=12),SUMIFS('Payment_Schedule'!$G$8:$G$19,'Payment_Schedule'!$C$8:$C$19,"&gt;="&amp;A25,'Payment_Schedule'!$C$8:$C$19,"&lt;"&amp;EDATE(A25,1),'Payment_Schedule'!$C$8:$C$19,"&gt;"&amp;$C$4),"n.a.")</x:f>
        <x:v>0</x:v>
      </x:c>
      <x:c r="C25" s="15" t="n">
        <x:f>IF(AND(ISNUMBER($C$4),COUNT('Payment_Schedule'!$I$8:$I$19)=12),SUMIFS('Payment_Schedule'!$H$8:$H$19,'Payment_Schedule'!$C$8:$C$19,"&gt;="&amp;A25,'Payment_Schedule'!$C$8:$C$19,"&lt;"&amp;EDATE(A25,1),'Payment_Schedule'!$C$8:$C$19,"&gt;"&amp;$C$4),"n.a.")</x:f>
        <x:v>0</x:v>
      </x:c>
      <x:c r="D25" s="15" t="n">
        <x:f>IF(AND(ISNUMBER($C$4),COUNT('Payment_Schedule'!$I$8:$I$19)=12),SUMIFS('Payment_Schedule'!$I$8:$I$19,'Payment_Schedule'!$C$8:$C$19,"&gt;="&amp;A25,'Payment_Schedule'!$C$8:$C$19,"&lt;"&amp;EDATE(A25,1),'Payment_Schedule'!$C$8:$C$19,"&gt;"&amp;$C$4),"n.a.")</x:f>
        <x:v>0</x:v>
      </x:c>
      <x:c r="E25" s="2"/>
      <x:c r="F25" s="2"/>
      <x:c r="G25" s="2"/>
      <x:c r="H25" s="2"/>
      <x:c r="I25" s="2"/>
      <x:c r="J25" s="2"/>
      <x:c r="K25" s="2"/>
      <x:c r="M25" t="str">
        <x:f>TEXT(A25,"yyyy-mm")</x:f>
        <x:v>2027-09</x:v>
      </x:c>
    </x:row>
    <x:row r="26" ht="23" customHeight="1">
      <x:c r="A26" s="30" t="n">
        <x:v>46661</x:v>
      </x:c>
      <x:c r="B26" s="15" t="n">
        <x:f>IF(AND(ISNUMBER($C$4),COUNT('Payment_Schedule'!$I$8:$I$19)=12),SUMIFS('Payment_Schedule'!$G$8:$G$19,'Payment_Schedule'!$C$8:$C$19,"&gt;="&amp;A26,'Payment_Schedule'!$C$8:$C$19,"&lt;"&amp;EDATE(A26,1),'Payment_Schedule'!$C$8:$C$19,"&gt;"&amp;$C$4),"n.a.")</x:f>
        <x:v>442.5</x:v>
      </x:c>
      <x:c r="C26" s="15" t="n">
        <x:f>IF(AND(ISNUMBER($C$4),COUNT('Payment_Schedule'!$I$8:$I$19)=12),SUMIFS('Payment_Schedule'!$H$8:$H$19,'Payment_Schedule'!$C$8:$C$19,"&gt;="&amp;A26,'Payment_Schedule'!$C$8:$C$19,"&lt;"&amp;EDATE(A26,1),'Payment_Schedule'!$C$8:$C$19,"&gt;"&amp;$C$4),"n.a.")</x:f>
        <x:v>15000</x:v>
      </x:c>
      <x:c r="D26" s="15" t="n">
        <x:f>IF(AND(ISNUMBER($C$4),COUNT('Payment_Schedule'!$I$8:$I$19)=12),SUMIFS('Payment_Schedule'!$I$8:$I$19,'Payment_Schedule'!$C$8:$C$19,"&gt;="&amp;A26,'Payment_Schedule'!$C$8:$C$19,"&lt;"&amp;EDATE(A26,1),'Payment_Schedule'!$C$8:$C$19,"&gt;"&amp;$C$4),"n.a.")</x:f>
        <x:v>15442.5</x:v>
      </x:c>
      <x:c r="E26" s="2"/>
      <x:c r="F26" s="2"/>
      <x:c r="G26" s="2"/>
      <x:c r="H26" s="2"/>
      <x:c r="I26" s="2"/>
      <x:c r="J26" s="2"/>
      <x:c r="K26" s="2"/>
      <x:c r="M26" t="str">
        <x:f>TEXT(A26,"yyyy-mm")</x:f>
        <x:v>2027-10</x:v>
      </x:c>
    </x:row>
    <x:row r="27" ht="23" customHeight="1">
      <x:c r="A27" s="30" t="n">
        <x:v>46692</x:v>
      </x:c>
      <x:c r="B27" s="15" t="n">
        <x:f>IF(AND(ISNUMBER($C$4),COUNT('Payment_Schedule'!$I$8:$I$19)=12),SUMIFS('Payment_Schedule'!$G$8:$G$19,'Payment_Schedule'!$C$8:$C$19,"&gt;="&amp;A27,'Payment_Schedule'!$C$8:$C$19,"&lt;"&amp;EDATE(A27,1),'Payment_Schedule'!$C$8:$C$19,"&gt;"&amp;$C$4),"n.a.")</x:f>
        <x:v>260</x:v>
      </x:c>
      <x:c r="C27" s="15" t="n">
        <x:f>IF(AND(ISNUMBER($C$4),COUNT('Payment_Schedule'!$I$8:$I$19)=12),SUMIFS('Payment_Schedule'!$H$8:$H$19,'Payment_Schedule'!$C$8:$C$19,"&gt;="&amp;A27,'Payment_Schedule'!$C$8:$C$19,"&lt;"&amp;EDATE(A27,1),'Payment_Schedule'!$C$8:$C$19,"&gt;"&amp;$C$4),"n.a.")</x:f>
        <x:v>0</x:v>
      </x:c>
      <x:c r="D27" s="15" t="n">
        <x:f>IF(AND(ISNUMBER($C$4),COUNT('Payment_Schedule'!$I$8:$I$19)=12),SUMIFS('Payment_Schedule'!$I$8:$I$19,'Payment_Schedule'!$C$8:$C$19,"&gt;="&amp;A27,'Payment_Schedule'!$C$8:$C$19,"&lt;"&amp;EDATE(A27,1),'Payment_Schedule'!$C$8:$C$19,"&gt;"&amp;$C$4),"n.a.")</x:f>
        <x:v>260</x:v>
      </x:c>
      <x:c r="E27" s="2"/>
      <x:c r="F27" s="2"/>
      <x:c r="G27" s="2"/>
      <x:c r="H27" s="2"/>
      <x:c r="I27" s="2"/>
      <x:c r="J27" s="2"/>
      <x:c r="K27" s="2"/>
      <x:c r="M27" t="str">
        <x:f>TEXT(A27,"yyyy-mm")</x:f>
        <x:v>2027-11</x:v>
      </x:c>
    </x:row>
    <x:row r="28" ht="32" customHeight="1">
      <x:c r="A28" s="30" t="n">
        <x:v>46722</x:v>
      </x:c>
      <x:c r="B28" s="15" t="n">
        <x:f>IF(AND(ISNUMBER($C$4),COUNT('Payment_Schedule'!$I$8:$I$19)=12),SUMIFS('Payment_Schedule'!$G$8:$G$19,'Payment_Schedule'!$C$8:$C$19,"&gt;="&amp;A28,'Payment_Schedule'!$C$8:$C$19,"&lt;"&amp;EDATE(A28,1),'Payment_Schedule'!$C$8:$C$19,"&gt;"&amp;$C$4),"n.a.")</x:f>
        <x:v>0</x:v>
      </x:c>
      <x:c r="C28" s="15" t="n">
        <x:f>IF(AND(ISNUMBER($C$4),COUNT('Payment_Schedule'!$I$8:$I$19)=12),SUMIFS('Payment_Schedule'!$H$8:$H$19,'Payment_Schedule'!$C$8:$C$19,"&gt;="&amp;A28,'Payment_Schedule'!$C$8:$C$19,"&lt;"&amp;EDATE(A28,1),'Payment_Schedule'!$C$8:$C$19,"&gt;"&amp;$C$4),"n.a.")</x:f>
        <x:v>0</x:v>
      </x:c>
      <x:c r="D28" s="15" t="n">
        <x:f>IF(AND(ISNUMBER($C$4),COUNT('Payment_Schedule'!$I$8:$I$19)=12),SUMIFS('Payment_Schedule'!$I$8:$I$19,'Payment_Schedule'!$C$8:$C$19,"&gt;="&amp;A28,'Payment_Schedule'!$C$8:$C$19,"&lt;"&amp;EDATE(A28,1),'Payment_Schedule'!$C$8:$C$19,"&gt;"&amp;$C$4),"n.a.")</x:f>
        <x:v>0</x:v>
      </x:c>
      <x:c r="E28" s="2"/>
      <x:c r="F28" s="9" t="str">
        <x:v>Maturity year</x:v>
      </x:c>
      <x:c r="G28" s="9" t="str">
        <x:v>Remaining nominal USD</x:v>
      </x:c>
      <x:c r="H28" s="9" t="str">
        <x:v>Nominal share</x:v>
      </x:c>
      <x:c r="I28" s="2"/>
      <x:c r="J28" s="2"/>
      <x:c r="K28" s="2"/>
      <x:c r="M28" t="str">
        <x:f>TEXT(A28,"yyyy-mm")</x:f>
        <x:v>2027-12</x:v>
      </x:c>
    </x:row>
    <x:row r="29" ht="23" customHeight="1">
      <x:c r="A29" s="30" t="n">
        <x:v>46753</x:v>
      </x:c>
      <x:c r="B29" s="15" t="n">
        <x:f>IF(AND(ISNUMBER($C$4),COUNT('Payment_Schedule'!$I$8:$I$19)=12),SUMIFS('Payment_Schedule'!$G$8:$G$19,'Payment_Schedule'!$C$8:$C$19,"&gt;="&amp;A29,'Payment_Schedule'!$C$8:$C$19,"&lt;"&amp;EDATE(A29,1),'Payment_Schedule'!$C$8:$C$19,"&gt;"&amp;$C$4),"n.a.")</x:f>
        <x:v>0</x:v>
      </x:c>
      <x:c r="C29" s="15" t="n">
        <x:f>IF(AND(ISNUMBER($C$4),COUNT('Payment_Schedule'!$I$8:$I$19)=12),SUMIFS('Payment_Schedule'!$H$8:$H$19,'Payment_Schedule'!$C$8:$C$19,"&gt;="&amp;A29,'Payment_Schedule'!$C$8:$C$19,"&lt;"&amp;EDATE(A29,1),'Payment_Schedule'!$C$8:$C$19,"&gt;"&amp;$C$4),"n.a.")</x:f>
        <x:v>0</x:v>
      </x:c>
      <x:c r="D29" s="15" t="n">
        <x:f>IF(AND(ISNUMBER($C$4),COUNT('Payment_Schedule'!$I$8:$I$19)=12),SUMIFS('Payment_Schedule'!$I$8:$I$19,'Payment_Schedule'!$C$8:$C$19,"&gt;="&amp;A29,'Payment_Schedule'!$C$8:$C$19,"&lt;"&amp;EDATE(A29,1),'Payment_Schedule'!$C$8:$C$19,"&gt;"&amp;$C$4),"n.a.")</x:f>
        <x:v>0</x:v>
      </x:c>
      <x:c r="E29" s="2"/>
      <x:c r="F29" s="2" t="str">
        <x:v>2027</x:v>
      </x:c>
      <x:c r="G29" s="15" t="n">
        <x:f>IF(AND(ISNUMBER($C$4),COUNT('Assumptions'!$E$8:$E$12)=5),SUMIFS('Assumptions'!$E$8:$E$12,'Assumptions'!$D$8:$D$12,"&gt;="&amp;DATE(2027,1,1),'Assumptions'!$D$8:$D$12,"&lt;"&amp;DATE(2028,1,1)),"n.a.")</x:f>
        <x:v>60000</x:v>
      </x:c>
      <x:c r="H29" s="31" t="n">
        <x:f>IF(COUNT($G$29:$G$30)=2,IF(SUM($G$29:$G$30)&gt;0,G29/SUM($G$29:$G$30),"n.a."),"n.a.")</x:f>
        <x:v>0.8571428571428571</x:v>
      </x:c>
      <x:c r="I29" s="2"/>
      <x:c r="J29" s="2"/>
      <x:c r="K29" s="2"/>
      <x:c r="M29" t="str">
        <x:f>TEXT(A29,"yyyy-mm")</x:f>
        <x:v>2028-01</x:v>
      </x:c>
    </x:row>
    <x:row r="30" ht="23" customHeight="1">
      <x:c r="A30" s="30" t="n">
        <x:v>46784</x:v>
      </x:c>
      <x:c r="B30" s="15" t="n">
        <x:f>IF(AND(ISNUMBER($C$4),COUNT('Payment_Schedule'!$I$8:$I$19)=12),SUMIFS('Payment_Schedule'!$G$8:$G$19,'Payment_Schedule'!$C$8:$C$19,"&gt;="&amp;A30,'Payment_Schedule'!$C$8:$C$19,"&lt;"&amp;EDATE(A30,1),'Payment_Schedule'!$C$8:$C$19,"&gt;"&amp;$C$4),"n.a.")</x:f>
        <x:v>0</x:v>
      </x:c>
      <x:c r="C30" s="15" t="n">
        <x:f>IF(AND(ISNUMBER($C$4),COUNT('Payment_Schedule'!$I$8:$I$19)=12),SUMIFS('Payment_Schedule'!$H$8:$H$19,'Payment_Schedule'!$C$8:$C$19,"&gt;="&amp;A30,'Payment_Schedule'!$C$8:$C$19,"&lt;"&amp;EDATE(A30,1),'Payment_Schedule'!$C$8:$C$19,"&gt;"&amp;$C$4),"n.a.")</x:f>
        <x:v>0</x:v>
      </x:c>
      <x:c r="D30" s="15" t="n">
        <x:f>IF(AND(ISNUMBER($C$4),COUNT('Payment_Schedule'!$I$8:$I$19)=12),SUMIFS('Payment_Schedule'!$I$8:$I$19,'Payment_Schedule'!$C$8:$C$19,"&gt;="&amp;A30,'Payment_Schedule'!$C$8:$C$19,"&lt;"&amp;EDATE(A30,1),'Payment_Schedule'!$C$8:$C$19,"&gt;"&amp;$C$4),"n.a.")</x:f>
        <x:v>0</x:v>
      </x:c>
      <x:c r="E30" s="2"/>
      <x:c r="F30" s="2" t="str">
        <x:v>2028</x:v>
      </x:c>
      <x:c r="G30" s="15" t="n">
        <x:f>IF(AND(ISNUMBER($C$4),COUNT('Assumptions'!$E$8:$E$12)=5),SUMIFS('Assumptions'!$E$8:$E$12,'Assumptions'!$D$8:$D$12,"&gt;="&amp;DATE(2028,1,1),'Assumptions'!$D$8:$D$12,"&lt;"&amp;DATE(2029,1,1)),"n.a.")</x:f>
        <x:v>10000</x:v>
      </x:c>
      <x:c r="H30" s="31" t="n">
        <x:f>IF(COUNT($G$29:$G$30)=2,IF(SUM($G$29:$G$30)&gt;0,G30/SUM($G$29:$G$30),"n.a."),"n.a.")</x:f>
        <x:v>0.14285714285714285</x:v>
      </x:c>
      <x:c r="I30" s="2"/>
      <x:c r="J30" s="2"/>
      <x:c r="K30" s="2"/>
      <x:c r="M30" t="str">
        <x:f>TEXT(A30,"yyyy-mm")</x:f>
        <x:v>2028-02</x:v>
      </x:c>
    </x:row>
    <x:row r="31" ht="23" customHeight="1">
      <x:c r="A31" s="30" t="n">
        <x:v>46813</x:v>
      </x:c>
      <x:c r="B31" s="15" t="n">
        <x:f>IF(AND(ISNUMBER($C$4),COUNT('Payment_Schedule'!$I$8:$I$19)=12),SUMIFS('Payment_Schedule'!$G$8:$G$19,'Payment_Schedule'!$C$8:$C$19,"&gt;="&amp;A31,'Payment_Schedule'!$C$8:$C$19,"&lt;"&amp;EDATE(A31,1),'Payment_Schedule'!$C$8:$C$19,"&gt;"&amp;$C$4),"n.a.")</x:f>
        <x:v>0</x:v>
      </x:c>
      <x:c r="C31" s="15" t="n">
        <x:f>IF(AND(ISNUMBER($C$4),COUNT('Payment_Schedule'!$I$8:$I$19)=12),SUMIFS('Payment_Schedule'!$H$8:$H$19,'Payment_Schedule'!$C$8:$C$19,"&gt;="&amp;A31,'Payment_Schedule'!$C$8:$C$19,"&lt;"&amp;EDATE(A31,1),'Payment_Schedule'!$C$8:$C$19,"&gt;"&amp;$C$4),"n.a.")</x:f>
        <x:v>0</x:v>
      </x:c>
      <x:c r="D31" s="15" t="n">
        <x:f>IF(AND(ISNUMBER($C$4),COUNT('Payment_Schedule'!$I$8:$I$19)=12),SUMIFS('Payment_Schedule'!$I$8:$I$19,'Payment_Schedule'!$C$8:$C$19,"&gt;="&amp;A31,'Payment_Schedule'!$C$8:$C$19,"&lt;"&amp;EDATE(A31,1),'Payment_Schedule'!$C$8:$C$19,"&gt;"&amp;$C$4),"n.a.")</x:f>
        <x:v>0</x:v>
      </x:c>
      <x:c r="E31" s="2"/>
      <x:c r="F31" s="2"/>
      <x:c r="G31" s="2"/>
      <x:c r="H31" s="2"/>
      <x:c r="I31" s="2"/>
      <x:c r="J31" s="2"/>
      <x:c r="K31" s="2"/>
      <x:c r="M31" t="str">
        <x:f>TEXT(A31,"yyyy-mm")</x:f>
        <x:v>2028-03</x:v>
      </x:c>
    </x:row>
    <x:row r="32" ht="23" customHeight="1">
      <x:c r="A32" s="30" t="n">
        <x:v>46844</x:v>
      </x:c>
      <x:c r="B32" s="15" t="n">
        <x:f>IF(AND(ISNUMBER($C$4),COUNT('Payment_Schedule'!$I$8:$I$19)=12),SUMIFS('Payment_Schedule'!$G$8:$G$19,'Payment_Schedule'!$C$8:$C$19,"&gt;="&amp;A32,'Payment_Schedule'!$C$8:$C$19,"&lt;"&amp;EDATE(A32,1),'Payment_Schedule'!$C$8:$C$19,"&gt;"&amp;$C$4),"n.a.")</x:f>
        <x:v>0</x:v>
      </x:c>
      <x:c r="C32" s="15" t="n">
        <x:f>IF(AND(ISNUMBER($C$4),COUNT('Payment_Schedule'!$I$8:$I$19)=12),SUMIFS('Payment_Schedule'!$H$8:$H$19,'Payment_Schedule'!$C$8:$C$19,"&gt;="&amp;A32,'Payment_Schedule'!$C$8:$C$19,"&lt;"&amp;EDATE(A32,1),'Payment_Schedule'!$C$8:$C$19,"&gt;"&amp;$C$4),"n.a.")</x:f>
        <x:v>0</x:v>
      </x:c>
      <x:c r="D32" s="15" t="n">
        <x:f>IF(AND(ISNUMBER($C$4),COUNT('Payment_Schedule'!$I$8:$I$19)=12),SUMIFS('Payment_Schedule'!$I$8:$I$19,'Payment_Schedule'!$C$8:$C$19,"&gt;="&amp;A32,'Payment_Schedule'!$C$8:$C$19,"&lt;"&amp;EDATE(A32,1),'Payment_Schedule'!$C$8:$C$19,"&gt;"&amp;$C$4),"n.a.")</x:f>
        <x:v>0</x:v>
      </x:c>
      <x:c r="E32" s="2"/>
      <x:c r="F32" s="2" t="str">
        <x:v>Shares use nominal principal, not market value.</x:v>
      </x:c>
      <x:c r="G32" s="2"/>
      <x:c r="H32" s="2"/>
      <x:c r="I32" s="2"/>
      <x:c r="J32" s="2"/>
      <x:c r="K32" s="2"/>
      <x:c r="M32" t="str">
        <x:f>TEXT(A32,"yyyy-mm")</x:f>
        <x:v>2028-04</x:v>
      </x:c>
    </x:row>
    <x:row r="33" ht="23" customHeight="1">
      <x:c r="A33" s="30" t="n">
        <x:v>46874</x:v>
      </x:c>
      <x:c r="B33" s="15" t="n">
        <x:f>IF(AND(ISNUMBER($C$4),COUNT('Payment_Schedule'!$I$8:$I$19)=12),SUMIFS('Payment_Schedule'!$G$8:$G$19,'Payment_Schedule'!$C$8:$C$19,"&gt;="&amp;A33,'Payment_Schedule'!$C$8:$C$19,"&lt;"&amp;EDATE(A33,1),'Payment_Schedule'!$C$8:$C$19,"&gt;"&amp;$C$4),"n.a.")</x:f>
        <x:v>260</x:v>
      </x:c>
      <x:c r="C33" s="15" t="n">
        <x:f>IF(AND(ISNUMBER($C$4),COUNT('Payment_Schedule'!$I$8:$I$19)=12),SUMIFS('Payment_Schedule'!$H$8:$H$19,'Payment_Schedule'!$C$8:$C$19,"&gt;="&amp;A33,'Payment_Schedule'!$C$8:$C$19,"&lt;"&amp;EDATE(A33,1),'Payment_Schedule'!$C$8:$C$19,"&gt;"&amp;$C$4),"n.a.")</x:f>
        <x:v>10000</x:v>
      </x:c>
      <x:c r="D33" s="15" t="n">
        <x:f>IF(AND(ISNUMBER($C$4),COUNT('Payment_Schedule'!$I$8:$I$19)=12),SUMIFS('Payment_Schedule'!$I$8:$I$19,'Payment_Schedule'!$C$8:$C$19,"&gt;="&amp;A33,'Payment_Schedule'!$C$8:$C$19,"&lt;"&amp;EDATE(A33,1),'Payment_Schedule'!$C$8:$C$19,"&gt;"&amp;$C$4),"n.a.")</x:f>
        <x:v>10260</x:v>
      </x:c>
      <x:c r="E33" s="2"/>
      <x:c r="F33" s="2"/>
      <x:c r="G33" s="2"/>
      <x:c r="H33" s="2"/>
      <x:c r="I33" s="2"/>
      <x:c r="J33" s="2"/>
      <x:c r="K33" s="2"/>
      <x:c r="M33" t="str">
        <x:f>TEXT(A33,"yyyy-mm")</x:f>
        <x:v>2028-05</x:v>
      </x:c>
    </x:row>
    <x:row r="34" ht="23" customHeight="1">
      <x:c r="A34" s="27" t="str">
        <x:v>Total</x:v>
      </x:c>
      <x:c r="B34" s="28" t="n">
        <x:f>IF(COUNT(B14:B33)=20,SUM(B14:B33),"n.a.")</x:f>
        <x:v>3843.5</x:v>
      </x:c>
      <x:c r="C34" s="28" t="n">
        <x:f>IF(COUNT(C14:C33)=20,SUM(C14:C33),"n.a.")</x:f>
        <x:v>70000</x:v>
      </x:c>
      <x:c r="D34" s="28" t="n">
        <x:f>IF(COUNT(D14:D33)=20,SUM(D14:D33),"n.a.")</x:f>
        <x:v>73843.5</x:v>
      </x:c>
      <x:c r="E34" s="2"/>
      <x:c r="F34" s="2"/>
      <x:c r="G34" s="2"/>
      <x:c r="H34" s="2"/>
      <x:c r="I34" s="2"/>
      <x:c r="J34" s="2"/>
      <x:c r="K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3" customHeight="1">
      <x:c r="A37" s="2" t="str">
        <x:v>Full scheduled gross cash USD</x:v>
      </x:c>
      <x:c r="B37" s="2"/>
      <x:c r="C37" s="15" t="n">
        <x:f>IF(AND(ISNUMBER($C$4),COUNT('Payment_Schedule'!$I$8:$I$19)=12),SUM('Payment_Schedule'!$I$8:$I$19),"n.a.")</x:f>
        <x:v>74178</x:v>
      </x:c>
      <x:c r="D37" s="2"/>
      <x:c r="E37" s="2"/>
      <x:c r="F37" s="2" t="str">
        <x:v>Scheduled on/before reporting date USD</x:v>
      </x:c>
      <x:c r="G37" s="2"/>
      <x:c r="H37" s="2"/>
      <x:c r="I37" s="15" t="n">
        <x:f>IF(AND(ISNUMBER($C$4),COUNT('Payment_Schedule'!$I$8:$I$19)=12),SUMIFS('Payment_Schedule'!$I$8:$I$19,'Payment_Schedule'!$C$8:$C$19,"&lt;="&amp;$C$4),"n.a.")</x:f>
        <x:v>334.5</x:v>
      </x:c>
      <x:c r="J37" s="2"/>
      <x:c r="K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3" customHeight="1">
      <x:c r="A39" s="2" t="str">
        <x:v>Edit the date and nominal on Assumptions. Source terms and payment rows stay fixed.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</x:sheetData>
  <x:mergeCells>
    <x:mergeCell ref="F32:J32"/>
  </x:mergeCells>
  <x:pageMargins left="0.7" right="0.7" top="0.75" bottom="0.75" header="0.3" footer="0.3"/>
  <x:drawing xmlns:r="http://schemas.openxmlformats.org/officeDocument/2006/relationships" r:id="Rd941ac50a8ab43af"/>
</x:worksheet>
</file>

<file path=xl/worksheets/sheet2.xml><?xml version="1.0" encoding="utf-8"?>
<x:worksheet xmlns:x="http://schemas.openxmlformats.org/spreadsheetml/2006/main">
  <x:sheetPr>
    <x:tabColor rgb="FF59748F"/>
  </x:sheetPr>
  <x:sheetViews>
    <x:sheetView showGridLines="0" workbookViewId="0"/>
  </x:sheetViews>
  <x:sheetFormatPr defaultRowHeight="15"/>
  <x:cols>
    <x:col min="1" max="1" width="19.440000534057617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7.219999313354492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Portfolio assumptions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2"/>
      <x:c r="B3" s="2"/>
      <x:c r="C3" s="2" t="str">
        <x:v>Validated date</x:v>
      </x:c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Reporting date</x:v>
      </x:c>
      <x:c r="B4" s="11" t="n">
        <x:v>46317</x:v>
      </x:c>
      <x:c r="C4" s="5" t="n">
        <x:f>IF(AND(ISNUMBER(B4),B4&gt;=1,B4&lt;=2958465),B4,"Invalid date")</x:f>
        <x:v>46317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 t="str">
        <x:v>Yellow cells are assumptions. Nominal is not purchase cost or market value.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9" t="str">
        <x:v>ISIN</x:v>
      </x:c>
      <x:c r="B7" s="9" t="str">
        <x:v>Nominal USD</x:v>
      </x:c>
      <x:c r="C7" s="9" t="str">
        <x:v>Validated nominal</x:v>
      </x:c>
      <x:c r="D7" s="9" t="str">
        <x:v>Maturity date</x:v>
      </x:c>
      <x:c r="E7" s="9" t="str">
        <x:v>Remaining nominal USD</x:v>
      </x:c>
      <x:c r="F7" s="2"/>
      <x:c r="G7" s="2"/>
      <x:c r="H7" s="2"/>
      <x:c r="I7" s="2"/>
      <x:c r="J7" s="2"/>
      <x:c r="K7" s="2"/>
    </x:row>
    <x:row r="8" ht="23" customHeight="1">
      <x:c r="A8" s="2" t="str">
        <x:v>TRT100528F15</x:v>
      </x:c>
      <x:c r="B8" s="14" t="n">
        <x:v>10000</x:v>
      </x:c>
      <x:c r="C8" s="15" t="n">
        <x:f>IF(AND(ISNUMBER(B8),B8&gt;=0),B8,"Invalid nominal")</x:f>
        <x:v>10000</x:v>
      </x:c>
      <x:c r="D8" s="16" t="n">
        <x:f>VLOOKUP(A8,'Source_Data'!$A$6:$I$10,4,FALSE)</x:f>
        <x:v>46883</x:v>
      </x:c>
      <x:c r="E8" s="15" t="n">
        <x:f>IF(AND(ISNUMBER(C8),ISNUMBER($C$4)),IF(D8&gt;$C$4,C8,0),"n.a.")</x:f>
        <x:v>10000</x:v>
      </x:c>
      <x:c r="F8" s="2"/>
      <x:c r="G8" s="2"/>
      <x:c r="H8" s="2"/>
      <x:c r="I8" s="2"/>
      <x:c r="J8" s="2"/>
      <x:c r="K8" s="2"/>
    </x:row>
    <x:row r="9" ht="23" customHeight="1">
      <x:c r="A9" s="2" t="str">
        <x:v>TRT090627F18</x:v>
      </x:c>
      <x:c r="B9" s="14" t="n">
        <x:v>20000</x:v>
      </x:c>
      <x:c r="C9" s="15" t="n">
        <x:f>IF(AND(ISNUMBER(B9),B9&gt;=0),B9,"Invalid nominal")</x:f>
        <x:v>20000</x:v>
      </x:c>
      <x:c r="D9" s="16" t="n">
        <x:f>VLOOKUP(A9,'Source_Data'!$A$6:$I$10,4,FALSE)</x:f>
        <x:v>46547</x:v>
      </x:c>
      <x:c r="E9" s="15" t="n">
        <x:f>IF(AND(ISNUMBER(C9),ISNUMBER($C$4)),IF(D9&gt;$C$4,C9,0),"n.a.")</x:f>
        <x:v>20000</x:v>
      </x:c>
      <x:c r="F9" s="2"/>
      <x:c r="G9" s="2"/>
      <x:c r="H9" s="2"/>
      <x:c r="I9" s="2"/>
      <x:c r="J9" s="2"/>
      <x:c r="K9" s="2"/>
    </x:row>
    <x:row r="10" ht="23" customHeight="1">
      <x:c r="A10" s="2" t="str">
        <x:v>TRT140427F13</x:v>
      </x:c>
      <x:c r="B10" s="14" t="n">
        <x:v>15000</x:v>
      </x:c>
      <x:c r="C10" s="15" t="n">
        <x:f>IF(AND(ISNUMBER(B10),B10&gt;=0),B10,"Invalid nominal")</x:f>
        <x:v>15000</x:v>
      </x:c>
      <x:c r="D10" s="16" t="n">
        <x:f>VLOOKUP(A10,'Source_Data'!$A$6:$I$10,4,FALSE)</x:f>
        <x:v>46491</x:v>
      </x:c>
      <x:c r="E10" s="15" t="n">
        <x:f>IF(AND(ISNUMBER(C10),ISNUMBER($C$4)),IF(D10&gt;$C$4,C10,0),"n.a.")</x:f>
        <x:v>15000</x:v>
      </x:c>
      <x:c r="F10" s="2"/>
      <x:c r="G10" s="2"/>
      <x:c r="H10" s="2"/>
      <x:c r="I10" s="2"/>
      <x:c r="J10" s="2"/>
      <x:c r="K10" s="2"/>
    </x:row>
    <x:row r="11" ht="23" customHeight="1">
      <x:c r="A11" s="2" t="str">
        <x:v>TRT200827F11</x:v>
      </x:c>
      <x:c r="B11" s="14" t="n">
        <x:v>10000</x:v>
      </x:c>
      <x:c r="C11" s="15" t="n">
        <x:f>IF(AND(ISNUMBER(B11),B11&gt;=0),B11,"Invalid nominal")</x:f>
        <x:v>10000</x:v>
      </x:c>
      <x:c r="D11" s="16" t="n">
        <x:f>VLOOKUP(A11,'Source_Data'!$A$6:$I$10,4,FALSE)</x:f>
        <x:v>46619</x:v>
      </x:c>
      <x:c r="E11" s="15" t="n">
        <x:f>IF(AND(ISNUMBER(C11),ISNUMBER($C$4)),IF(D11&gt;$C$4,C11,0),"n.a.")</x:f>
        <x:v>10000</x:v>
      </x:c>
      <x:c r="F11" s="2"/>
      <x:c r="G11" s="2"/>
      <x:c r="H11" s="2"/>
      <x:c r="I11" s="2"/>
      <x:c r="J11" s="2"/>
      <x:c r="K11" s="2"/>
    </x:row>
    <x:row r="12" ht="23" customHeight="1">
      <x:c r="A12" s="2" t="str">
        <x:v>TRT061027F15</x:v>
      </x:c>
      <x:c r="B12" s="14" t="n">
        <x:v>15000</x:v>
      </x:c>
      <x:c r="C12" s="15" t="n">
        <x:f>IF(AND(ISNUMBER(B12),B12&gt;=0),B12,"Invalid nominal")</x:f>
        <x:v>15000</x:v>
      </x:c>
      <x:c r="D12" s="16" t="n">
        <x:f>VLOOKUP(A12,'Source_Data'!$A$6:$I$10,4,FALSE)</x:f>
        <x:v>46666</x:v>
      </x:c>
      <x:c r="E12" s="15" t="n">
        <x:f>IF(AND(ISNUMBER(C12),ISNUMBER($C$4)),IF(D12&gt;$C$4,C12,0),"n.a.")</x:f>
        <x:v>15000</x:v>
      </x:c>
      <x:c r="F12" s="2"/>
      <x:c r="G12" s="2"/>
      <x:c r="H12" s="2"/>
      <x:c r="I12" s="2"/>
      <x:c r="J12" s="2"/>
      <x:c r="K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3" customHeight="1">
      <x:c r="A15" s="2" t="str">
        <x:v>Hypothetical holdings are constant from issue to maturity. These are not real trades.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3" customHeight="1">
      <x:c r="A17" s="2" t="str">
        <x:v>Excel edits do not update JSON. Enter matching assumptions in each environment.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</x:sheetData>
  <x:conditionalFormatting sqref="C8:C12">
    <x:cfRule type="containsText" dxfId="0" priority="1" operator="containsText" text="Invali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9.440000534057617" hidden="0" customWidth="1"/>
    <x:col min="2" max="2" width="12.779999732971191" hidden="0" customWidth="1"/>
    <x:col min="3" max="3" width="12.779999732971191" hidden="0" customWidth="1"/>
    <x:col min="4" max="4" width="12.779999732971191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Scheduled coupon and principal payments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A scheduled date is not proof of receipt. All amounts are gross USD.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9" t="str">
        <x:v>ISIN</x:v>
      </x:c>
      <x:c r="B7" s="9" t="str">
        <x:v>Coupon no.</x:v>
      </x:c>
      <x:c r="C7" s="9" t="str">
        <x:v>Scheduled date</x:v>
      </x:c>
      <x:c r="D7" s="9" t="str">
        <x:v>Nominal USD</x:v>
      </x:c>
      <x:c r="E7" s="9" t="str">
        <x:v>Periodic rate</x:v>
      </x:c>
      <x:c r="F7" s="9" t="str">
        <x:v>Maturity date</x:v>
      </x:c>
      <x:c r="G7" s="9" t="str">
        <x:v>Coupon USD</x:v>
      </x:c>
      <x:c r="H7" s="9" t="str">
        <x:v>Principal USD</x:v>
      </x:c>
      <x:c r="I7" s="9" t="str">
        <x:v>Total USD</x:v>
      </x:c>
      <x:c r="J7" s="9" t="str">
        <x:v>Future flag 1/0</x:v>
      </x:c>
      <x:c r="K7" s="2"/>
    </x:row>
    <x:row r="8" ht="23" customHeight="1">
      <x:c r="A8" s="2" t="str">
        <x:v>TRT140427F13</x:v>
      </x:c>
      <x:c r="B8" s="2" t="n">
        <x:v>1</x:v>
      </x:c>
      <x:c r="C8" s="5" t="n">
        <x:v>46309</x:v>
      </x:c>
      <x:c r="D8" s="19" t="n">
        <x:f>VLOOKUP(A8,'Assumptions'!$A$8:$C$12,3,FALSE)</x:f>
        <x:v>15000</x:v>
      </x:c>
      <x:c r="E8" s="20" t="n">
        <x:f>VLOOKUP(A8,'Source_Data'!$A$6:$I$10,9,FALSE)</x:f>
        <x:v>0.0223</x:v>
      </x:c>
      <x:c r="F8" s="16" t="n">
        <x:f>VLOOKUP(A8,'Source_Data'!$A$6:$I$10,4,FALSE)</x:f>
        <x:v>46491</x:v>
      </x:c>
      <x:c r="G8" s="21" t="n">
        <x:f>IF(AND(ISNUMBER(D8),ISNUMBER(E8)),ROUND(D8*E8,2),"n.a.")</x:f>
        <x:v>334.5</x:v>
      </x:c>
      <x:c r="H8" s="21" t="n">
        <x:f>IF(ISNUMBER(G8),IF(C8=F8,D8,0),"n.a.")</x:f>
        <x:v>0</x:v>
      </x:c>
      <x:c r="I8" s="21" t="n">
        <x:f>IF(COUNT(G8:H8)=2,SUM(G8:H8),"n.a.")</x:f>
        <x:v>334.5</x:v>
      </x:c>
      <x:c r="J8" s="22" t="n">
        <x:f>IF(AND(ISNUMBER(I8),ISNUMBER('Assumptions'!$C$4)),IF(C8&gt;'Assumptions'!$C$4,1,0),"n.a.")</x:f>
        <x:v>0</x:v>
      </x:c>
      <x:c r="K8" s="2"/>
    </x:row>
    <x:row r="9" ht="23" customHeight="1">
      <x:c r="A9" s="2" t="str">
        <x:v>TRT100528F15</x:v>
      </x:c>
      <x:c r="B9" s="2" t="n">
        <x:v>1</x:v>
      </x:c>
      <x:c r="C9" s="5" t="n">
        <x:v>46337</x:v>
      </x:c>
      <x:c r="D9" s="19" t="n">
        <x:f>VLOOKUP(A9,'Assumptions'!$A$8:$C$12,3,FALSE)</x:f>
        <x:v>10000</x:v>
      </x:c>
      <x:c r="E9" s="20" t="n">
        <x:f>VLOOKUP(A9,'Source_Data'!$A$6:$I$10,9,FALSE)</x:f>
        <x:v>0.026</x:v>
      </x:c>
      <x:c r="F9" s="16" t="n">
        <x:f>VLOOKUP(A9,'Source_Data'!$A$6:$I$10,4,FALSE)</x:f>
        <x:v>46883</x:v>
      </x:c>
      <x:c r="G9" s="21" t="n">
        <x:f>IF(AND(ISNUMBER(D9),ISNUMBER(E9)),ROUND(D9*E9,2),"n.a.")</x:f>
        <x:v>260</x:v>
      </x:c>
      <x:c r="H9" s="21" t="n">
        <x:f>IF(ISNUMBER(G9),IF(C9=F9,D9,0),"n.a.")</x:f>
        <x:v>0</x:v>
      </x:c>
      <x:c r="I9" s="21" t="n">
        <x:f>IF(COUNT(G9:H9)=2,SUM(G9:H9),"n.a.")</x:f>
        <x:v>260</x:v>
      </x:c>
      <x:c r="J9" s="22" t="n">
        <x:f>IF(AND(ISNUMBER(I9),ISNUMBER('Assumptions'!$C$4)),IF(C9&gt;'Assumptions'!$C$4,1,0),"n.a.")</x:f>
        <x:v>1</x:v>
      </x:c>
      <x:c r="K9" s="2"/>
    </x:row>
    <x:row r="10" ht="23" customHeight="1">
      <x:c r="A10" s="2" t="str">
        <x:v>TRT090627F18</x:v>
      </x:c>
      <x:c r="B10" s="2" t="n">
        <x:v>1</x:v>
      </x:c>
      <x:c r="C10" s="5" t="n">
        <x:v>46365</x:v>
      </x:c>
      <x:c r="D10" s="19" t="n">
        <x:f>VLOOKUP(A10,'Assumptions'!$A$8:$C$12,3,FALSE)</x:f>
        <x:v>20000</x:v>
      </x:c>
      <x:c r="E10" s="20" t="n">
        <x:f>VLOOKUP(A10,'Source_Data'!$A$6:$I$10,9,FALSE)</x:f>
        <x:v>0.026</x:v>
      </x:c>
      <x:c r="F10" s="16" t="n">
        <x:f>VLOOKUP(A10,'Source_Data'!$A$6:$I$10,4,FALSE)</x:f>
        <x:v>46547</x:v>
      </x:c>
      <x:c r="G10" s="21" t="n">
        <x:f>IF(AND(ISNUMBER(D10),ISNUMBER(E10)),ROUND(D10*E10,2),"n.a.")</x:f>
        <x:v>520</x:v>
      </x:c>
      <x:c r="H10" s="21" t="n">
        <x:f>IF(ISNUMBER(G10),IF(C10=F10,D10,0),"n.a.")</x:f>
        <x:v>0</x:v>
      </x:c>
      <x:c r="I10" s="21" t="n">
        <x:f>IF(COUNT(G10:H10)=2,SUM(G10:H10),"n.a.")</x:f>
        <x:v>520</x:v>
      </x:c>
      <x:c r="J10" s="22" t="n">
        <x:f>IF(AND(ISNUMBER(I10),ISNUMBER('Assumptions'!$C$4)),IF(C10&gt;'Assumptions'!$C$4,1,0),"n.a.")</x:f>
        <x:v>1</x:v>
      </x:c>
      <x:c r="K10" s="2"/>
    </x:row>
    <x:row r="11" ht="23" customHeight="1">
      <x:c r="A11" s="2" t="str">
        <x:v>TRT200827F11</x:v>
      </x:c>
      <x:c r="B11" s="2" t="n">
        <x:v>1</x:v>
      </x:c>
      <x:c r="C11" s="5" t="n">
        <x:v>46437</x:v>
      </x:c>
      <x:c r="D11" s="19" t="n">
        <x:f>VLOOKUP(A11,'Assumptions'!$A$8:$C$12,3,FALSE)</x:f>
        <x:v>10000</x:v>
      </x:c>
      <x:c r="E11" s="20" t="n">
        <x:f>VLOOKUP(A11,'Source_Data'!$A$6:$I$10,9,FALSE)</x:f>
        <x:v>0.0272</x:v>
      </x:c>
      <x:c r="F11" s="16" t="n">
        <x:f>VLOOKUP(A11,'Source_Data'!$A$6:$I$10,4,FALSE)</x:f>
        <x:v>46619</x:v>
      </x:c>
      <x:c r="G11" s="21" t="n">
        <x:f>IF(AND(ISNUMBER(D11),ISNUMBER(E11)),ROUND(D11*E11,2),"n.a.")</x:f>
        <x:v>272</x:v>
      </x:c>
      <x:c r="H11" s="21" t="n">
        <x:f>IF(ISNUMBER(G11),IF(C11=F11,D11,0),"n.a.")</x:f>
        <x:v>0</x:v>
      </x:c>
      <x:c r="I11" s="21" t="n">
        <x:f>IF(COUNT(G11:H11)=2,SUM(G11:H11),"n.a.")</x:f>
        <x:v>272</x:v>
      </x:c>
      <x:c r="J11" s="22" t="n">
        <x:f>IF(AND(ISNUMBER(I11),ISNUMBER('Assumptions'!$C$4)),IF(C11&gt;'Assumptions'!$C$4,1,0),"n.a.")</x:f>
        <x:v>1</x:v>
      </x:c>
      <x:c r="K11" s="2"/>
    </x:row>
    <x:row r="12" ht="23" customHeight="1">
      <x:c r="A12" s="2" t="str">
        <x:v>TRT061027F15</x:v>
      </x:c>
      <x:c r="B12" s="2" t="n">
        <x:v>1</x:v>
      </x:c>
      <x:c r="C12" s="5" t="n">
        <x:v>46484</x:v>
      </x:c>
      <x:c r="D12" s="19" t="n">
        <x:f>VLOOKUP(A12,'Assumptions'!$A$8:$C$12,3,FALSE)</x:f>
        <x:v>15000</x:v>
      </x:c>
      <x:c r="E12" s="20" t="n">
        <x:f>VLOOKUP(A12,'Source_Data'!$A$6:$I$10,9,FALSE)</x:f>
        <x:v>0.0295</x:v>
      </x:c>
      <x:c r="F12" s="16" t="n">
        <x:f>VLOOKUP(A12,'Source_Data'!$A$6:$I$10,4,FALSE)</x:f>
        <x:v>46666</x:v>
      </x:c>
      <x:c r="G12" s="21" t="n">
        <x:f>IF(AND(ISNUMBER(D12),ISNUMBER(E12)),ROUND(D12*E12,2),"n.a.")</x:f>
        <x:v>442.5</x:v>
      </x:c>
      <x:c r="H12" s="21" t="n">
        <x:f>IF(ISNUMBER(G12),IF(C12=F12,D12,0),"n.a.")</x:f>
        <x:v>0</x:v>
      </x:c>
      <x:c r="I12" s="21" t="n">
        <x:f>IF(COUNT(G12:H12)=2,SUM(G12:H12),"n.a.")</x:f>
        <x:v>442.5</x:v>
      </x:c>
      <x:c r="J12" s="22" t="n">
        <x:f>IF(AND(ISNUMBER(I12),ISNUMBER('Assumptions'!$C$4)),IF(C12&gt;'Assumptions'!$C$4,1,0),"n.a.")</x:f>
        <x:v>1</x:v>
      </x:c>
      <x:c r="K12" s="2"/>
    </x:row>
    <x:row r="13" ht="23" customHeight="1">
      <x:c r="A13" s="2" t="str">
        <x:v>TRT140427F13</x:v>
      </x:c>
      <x:c r="B13" s="2" t="n">
        <x:v>2</x:v>
      </x:c>
      <x:c r="C13" s="5" t="n">
        <x:v>46491</x:v>
      </x:c>
      <x:c r="D13" s="19" t="n">
        <x:f>VLOOKUP(A13,'Assumptions'!$A$8:$C$12,3,FALSE)</x:f>
        <x:v>15000</x:v>
      </x:c>
      <x:c r="E13" s="20" t="n">
        <x:f>VLOOKUP(A13,'Source_Data'!$A$6:$I$10,9,FALSE)</x:f>
        <x:v>0.0223</x:v>
      </x:c>
      <x:c r="F13" s="16" t="n">
        <x:f>VLOOKUP(A13,'Source_Data'!$A$6:$I$10,4,FALSE)</x:f>
        <x:v>46491</x:v>
      </x:c>
      <x:c r="G13" s="21" t="n">
        <x:f>IF(AND(ISNUMBER(D13),ISNUMBER(E13)),ROUND(D13*E13,2),"n.a.")</x:f>
        <x:v>334.5</x:v>
      </x:c>
      <x:c r="H13" s="21" t="n">
        <x:f>IF(ISNUMBER(G13),IF(C13=F13,D13,0),"n.a.")</x:f>
        <x:v>15000</x:v>
      </x:c>
      <x:c r="I13" s="21" t="n">
        <x:f>IF(COUNT(G13:H13)=2,SUM(G13:H13),"n.a.")</x:f>
        <x:v>15334.5</x:v>
      </x:c>
      <x:c r="J13" s="22" t="n">
        <x:f>IF(AND(ISNUMBER(I13),ISNUMBER('Assumptions'!$C$4)),IF(C13&gt;'Assumptions'!$C$4,1,0),"n.a.")</x:f>
        <x:v>1</x:v>
      </x:c>
      <x:c r="K13" s="2"/>
    </x:row>
    <x:row r="14" ht="23" customHeight="1">
      <x:c r="A14" s="2" t="str">
        <x:v>TRT100528F15</x:v>
      </x:c>
      <x:c r="B14" s="2" t="n">
        <x:v>2</x:v>
      </x:c>
      <x:c r="C14" s="5" t="n">
        <x:v>46519</x:v>
      </x:c>
      <x:c r="D14" s="19" t="n">
        <x:f>VLOOKUP(A14,'Assumptions'!$A$8:$C$12,3,FALSE)</x:f>
        <x:v>10000</x:v>
      </x:c>
      <x:c r="E14" s="20" t="n">
        <x:f>VLOOKUP(A14,'Source_Data'!$A$6:$I$10,9,FALSE)</x:f>
        <x:v>0.026</x:v>
      </x:c>
      <x:c r="F14" s="16" t="n">
        <x:f>VLOOKUP(A14,'Source_Data'!$A$6:$I$10,4,FALSE)</x:f>
        <x:v>46883</x:v>
      </x:c>
      <x:c r="G14" s="21" t="n">
        <x:f>IF(AND(ISNUMBER(D14),ISNUMBER(E14)),ROUND(D14*E14,2),"n.a.")</x:f>
        <x:v>260</x:v>
      </x:c>
      <x:c r="H14" s="21" t="n">
        <x:f>IF(ISNUMBER(G14),IF(C14=F14,D14,0),"n.a.")</x:f>
        <x:v>0</x:v>
      </x:c>
      <x:c r="I14" s="21" t="n">
        <x:f>IF(COUNT(G14:H14)=2,SUM(G14:H14),"n.a.")</x:f>
        <x:v>260</x:v>
      </x:c>
      <x:c r="J14" s="22" t="n">
        <x:f>IF(AND(ISNUMBER(I14),ISNUMBER('Assumptions'!$C$4)),IF(C14&gt;'Assumptions'!$C$4,1,0),"n.a.")</x:f>
        <x:v>1</x:v>
      </x:c>
      <x:c r="K14" s="2"/>
    </x:row>
    <x:row r="15" ht="23" customHeight="1">
      <x:c r="A15" s="2" t="str">
        <x:v>TRT090627F18</x:v>
      </x:c>
      <x:c r="B15" s="2" t="n">
        <x:v>2</x:v>
      </x:c>
      <x:c r="C15" s="5" t="n">
        <x:v>46547</x:v>
      </x:c>
      <x:c r="D15" s="19" t="n">
        <x:f>VLOOKUP(A15,'Assumptions'!$A$8:$C$12,3,FALSE)</x:f>
        <x:v>20000</x:v>
      </x:c>
      <x:c r="E15" s="20" t="n">
        <x:f>VLOOKUP(A15,'Source_Data'!$A$6:$I$10,9,FALSE)</x:f>
        <x:v>0.026</x:v>
      </x:c>
      <x:c r="F15" s="16" t="n">
        <x:f>VLOOKUP(A15,'Source_Data'!$A$6:$I$10,4,FALSE)</x:f>
        <x:v>46547</x:v>
      </x:c>
      <x:c r="G15" s="21" t="n">
        <x:f>IF(AND(ISNUMBER(D15),ISNUMBER(E15)),ROUND(D15*E15,2),"n.a.")</x:f>
        <x:v>520</x:v>
      </x:c>
      <x:c r="H15" s="21" t="n">
        <x:f>IF(ISNUMBER(G15),IF(C15=F15,D15,0),"n.a.")</x:f>
        <x:v>20000</x:v>
      </x:c>
      <x:c r="I15" s="21" t="n">
        <x:f>IF(COUNT(G15:H15)=2,SUM(G15:H15),"n.a.")</x:f>
        <x:v>20520</x:v>
      </x:c>
      <x:c r="J15" s="22" t="n">
        <x:f>IF(AND(ISNUMBER(I15),ISNUMBER('Assumptions'!$C$4)),IF(C15&gt;'Assumptions'!$C$4,1,0),"n.a.")</x:f>
        <x:v>1</x:v>
      </x:c>
      <x:c r="K15" s="2"/>
    </x:row>
    <x:row r="16" ht="23" customHeight="1">
      <x:c r="A16" s="2" t="str">
        <x:v>TRT200827F11</x:v>
      </x:c>
      <x:c r="B16" s="2" t="n">
        <x:v>2</x:v>
      </x:c>
      <x:c r="C16" s="5" t="n">
        <x:v>46619</x:v>
      </x:c>
      <x:c r="D16" s="19" t="n">
        <x:f>VLOOKUP(A16,'Assumptions'!$A$8:$C$12,3,FALSE)</x:f>
        <x:v>10000</x:v>
      </x:c>
      <x:c r="E16" s="20" t="n">
        <x:f>VLOOKUP(A16,'Source_Data'!$A$6:$I$10,9,FALSE)</x:f>
        <x:v>0.0272</x:v>
      </x:c>
      <x:c r="F16" s="16" t="n">
        <x:f>VLOOKUP(A16,'Source_Data'!$A$6:$I$10,4,FALSE)</x:f>
        <x:v>46619</x:v>
      </x:c>
      <x:c r="G16" s="21" t="n">
        <x:f>IF(AND(ISNUMBER(D16),ISNUMBER(E16)),ROUND(D16*E16,2),"n.a.")</x:f>
        <x:v>272</x:v>
      </x:c>
      <x:c r="H16" s="21" t="n">
        <x:f>IF(ISNUMBER(G16),IF(C16=F16,D16,0),"n.a.")</x:f>
        <x:v>10000</x:v>
      </x:c>
      <x:c r="I16" s="21" t="n">
        <x:f>IF(COUNT(G16:H16)=2,SUM(G16:H16),"n.a.")</x:f>
        <x:v>10272</x:v>
      </x:c>
      <x:c r="J16" s="22" t="n">
        <x:f>IF(AND(ISNUMBER(I16),ISNUMBER('Assumptions'!$C$4)),IF(C16&gt;'Assumptions'!$C$4,1,0),"n.a.")</x:f>
        <x:v>1</x:v>
      </x:c>
      <x:c r="K16" s="2"/>
    </x:row>
    <x:row r="17" ht="23" customHeight="1">
      <x:c r="A17" s="2" t="str">
        <x:v>TRT061027F15</x:v>
      </x:c>
      <x:c r="B17" s="2" t="n">
        <x:v>2</x:v>
      </x:c>
      <x:c r="C17" s="5" t="n">
        <x:v>46666</x:v>
      </x:c>
      <x:c r="D17" s="19" t="n">
        <x:f>VLOOKUP(A17,'Assumptions'!$A$8:$C$12,3,FALSE)</x:f>
        <x:v>15000</x:v>
      </x:c>
      <x:c r="E17" s="20" t="n">
        <x:f>VLOOKUP(A17,'Source_Data'!$A$6:$I$10,9,FALSE)</x:f>
        <x:v>0.0295</x:v>
      </x:c>
      <x:c r="F17" s="16" t="n">
        <x:f>VLOOKUP(A17,'Source_Data'!$A$6:$I$10,4,FALSE)</x:f>
        <x:v>46666</x:v>
      </x:c>
      <x:c r="G17" s="21" t="n">
        <x:f>IF(AND(ISNUMBER(D17),ISNUMBER(E17)),ROUND(D17*E17,2),"n.a.")</x:f>
        <x:v>442.5</x:v>
      </x:c>
      <x:c r="H17" s="21" t="n">
        <x:f>IF(ISNUMBER(G17),IF(C17=F17,D17,0),"n.a.")</x:f>
        <x:v>15000</x:v>
      </x:c>
      <x:c r="I17" s="21" t="n">
        <x:f>IF(COUNT(G17:H17)=2,SUM(G17:H17),"n.a.")</x:f>
        <x:v>15442.5</x:v>
      </x:c>
      <x:c r="J17" s="22" t="n">
        <x:f>IF(AND(ISNUMBER(I17),ISNUMBER('Assumptions'!$C$4)),IF(C17&gt;'Assumptions'!$C$4,1,0),"n.a.")</x:f>
        <x:v>1</x:v>
      </x:c>
      <x:c r="K17" s="2"/>
    </x:row>
    <x:row r="18" ht="23" customHeight="1">
      <x:c r="A18" s="2" t="str">
        <x:v>TRT100528F15</x:v>
      </x:c>
      <x:c r="B18" s="2" t="n">
        <x:v>3</x:v>
      </x:c>
      <x:c r="C18" s="5" t="n">
        <x:v>46701</x:v>
      </x:c>
      <x:c r="D18" s="19" t="n">
        <x:f>VLOOKUP(A18,'Assumptions'!$A$8:$C$12,3,FALSE)</x:f>
        <x:v>10000</x:v>
      </x:c>
      <x:c r="E18" s="20" t="n">
        <x:f>VLOOKUP(A18,'Source_Data'!$A$6:$I$10,9,FALSE)</x:f>
        <x:v>0.026</x:v>
      </x:c>
      <x:c r="F18" s="16" t="n">
        <x:f>VLOOKUP(A18,'Source_Data'!$A$6:$I$10,4,FALSE)</x:f>
        <x:v>46883</x:v>
      </x:c>
      <x:c r="G18" s="21" t="n">
        <x:f>IF(AND(ISNUMBER(D18),ISNUMBER(E18)),ROUND(D18*E18,2),"n.a.")</x:f>
        <x:v>260</x:v>
      </x:c>
      <x:c r="H18" s="21" t="n">
        <x:f>IF(ISNUMBER(G18),IF(C18=F18,D18,0),"n.a.")</x:f>
        <x:v>0</x:v>
      </x:c>
      <x:c r="I18" s="21" t="n">
        <x:f>IF(COUNT(G18:H18)=2,SUM(G18:H18),"n.a.")</x:f>
        <x:v>260</x:v>
      </x:c>
      <x:c r="J18" s="22" t="n">
        <x:f>IF(AND(ISNUMBER(I18),ISNUMBER('Assumptions'!$C$4)),IF(C18&gt;'Assumptions'!$C$4,1,0),"n.a.")</x:f>
        <x:v>1</x:v>
      </x:c>
      <x:c r="K18" s="2"/>
    </x:row>
    <x:row r="19" ht="23" customHeight="1">
      <x:c r="A19" s="2" t="str">
        <x:v>TRT100528F15</x:v>
      </x:c>
      <x:c r="B19" s="2" t="n">
        <x:v>4</x:v>
      </x:c>
      <x:c r="C19" s="5" t="n">
        <x:v>46883</x:v>
      </x:c>
      <x:c r="D19" s="19" t="n">
        <x:f>VLOOKUP(A19,'Assumptions'!$A$8:$C$12,3,FALSE)</x:f>
        <x:v>10000</x:v>
      </x:c>
      <x:c r="E19" s="20" t="n">
        <x:f>VLOOKUP(A19,'Source_Data'!$A$6:$I$10,9,FALSE)</x:f>
        <x:v>0.026</x:v>
      </x:c>
      <x:c r="F19" s="16" t="n">
        <x:f>VLOOKUP(A19,'Source_Data'!$A$6:$I$10,4,FALSE)</x:f>
        <x:v>46883</x:v>
      </x:c>
      <x:c r="G19" s="21" t="n">
        <x:f>IF(AND(ISNUMBER(D19),ISNUMBER(E19)),ROUND(D19*E19,2),"n.a.")</x:f>
        <x:v>260</x:v>
      </x:c>
      <x:c r="H19" s="21" t="n">
        <x:f>IF(ISNUMBER(G19),IF(C19=F19,D19,0),"n.a.")</x:f>
        <x:v>10000</x:v>
      </x:c>
      <x:c r="I19" s="21" t="n">
        <x:f>IF(COUNT(G19:H19)=2,SUM(G19:H19),"n.a.")</x:f>
        <x:v>10260</x:v>
      </x:c>
      <x:c r="J19" s="22" t="n">
        <x:f>IF(AND(ISNUMBER(I19),ISNUMBER('Assumptions'!$C$4)),IF(C19&gt;'Assumptions'!$C$4,1,0),"n.a.")</x:f>
        <x:v>1</x:v>
      </x:c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440000534057617" hidden="0" customWidth="1"/>
    <x:col min="2" max="2" width="13.329999923706055" hidden="0" customWidth="1"/>
    <x:col min="3" max="3" width="12.779999732971191" hidden="0" customWidth="1"/>
    <x:col min="4" max="4" width="12.779999732971191" hidden="0" customWidth="1"/>
    <x:col min="5" max="5" width="32.220001220703125" hidden="0" customWidth="1"/>
    <x:col min="6" max="6" width="12.779999732971191" hidden="0" customWidth="1"/>
    <x:col min="7" max="7" width="12.779999732971191" hidden="0" customWidth="1"/>
    <x:col min="8" max="8" width="17.780000686645508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Official bond terms and sources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Rates are periodic; dates come from the announcements. These are not holdings assumptions.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9" t="str">
        <x:v>ISIN</x:v>
      </x:c>
      <x:c r="B5" s="9" t="str">
        <x:v>Currency</x:v>
      </x:c>
      <x:c r="C5" s="9" t="str">
        <x:v>Issue date</x:v>
      </x:c>
      <x:c r="D5" s="9" t="str">
        <x:v>Maturity date</x:v>
      </x:c>
      <x:c r="E5" s="9" t="str">
        <x:v>Periodic rate</x:v>
      </x:c>
      <x:c r="F5" s="9" t="str">
        <x:v>Period months</x:v>
      </x:c>
      <x:c r="G5" s="9" t="str">
        <x:v>Coupon count</x:v>
      </x:c>
      <x:c r="H5" s="9" t="str">
        <x:v>Source ID</x:v>
      </x:c>
      <x:c r="I5" s="9" t="str">
        <x:v>Validated rate</x:v>
      </x:c>
      <x:c r="J5" s="2"/>
      <x:c r="K5" s="2"/>
    </x:row>
    <x:row r="6" ht="23" customHeight="1">
      <x:c r="A6" s="2" t="str">
        <x:v>TRT100528F15</x:v>
      </x:c>
      <x:c r="B6" s="2" t="str">
        <x:v>USD</x:v>
      </x:c>
      <x:c r="C6" s="5" t="n">
        <x:v>46155</x:v>
      </x:c>
      <x:c r="D6" s="5" t="n">
        <x:v>46883</x:v>
      </x:c>
      <x:c r="E6" s="17" t="n">
        <x:v>0.026</x:v>
      </x:c>
      <x:c r="F6" s="2" t="n">
        <x:v>6</x:v>
      </x:c>
      <x:c r="G6" s="2" t="n">
        <x:v>4</x:v>
      </x:c>
      <x:c r="H6" s="2" t="str">
        <x:v>HMB_20260511</x:v>
      </x:c>
      <x:c r="I6" s="17" t="n">
        <x:f>IF(AND(ISNUMBER(E6),E6&gt;=0),E6,"Missing rate")</x:f>
        <x:v>0.026</x:v>
      </x:c>
      <x:c r="J6" s="2"/>
      <x:c r="K6" s="2"/>
    </x:row>
    <x:row r="7" ht="23" customHeight="1">
      <x:c r="A7" s="2" t="str">
        <x:v>TRT090627F18</x:v>
      </x:c>
      <x:c r="B7" s="2" t="str">
        <x:v>USD</x:v>
      </x:c>
      <x:c r="C7" s="5" t="n">
        <x:v>46183</x:v>
      </x:c>
      <x:c r="D7" s="5" t="n">
        <x:v>46547</x:v>
      </x:c>
      <x:c r="E7" s="17" t="n">
        <x:v>0.026</x:v>
      </x:c>
      <x:c r="F7" s="2" t="n">
        <x:v>6</x:v>
      </x:c>
      <x:c r="G7" s="2" t="n">
        <x:v>2</x:v>
      </x:c>
      <x:c r="H7" s="2" t="str">
        <x:v>HMB_20260605</x:v>
      </x:c>
      <x:c r="I7" s="17" t="n">
        <x:f>IF(AND(ISNUMBER(E7),E7&gt;=0),E7,"Missing rate")</x:f>
        <x:v>0.026</x:v>
      </x:c>
      <x:c r="J7" s="2"/>
      <x:c r="K7" s="2"/>
    </x:row>
    <x:row r="8" ht="23" customHeight="1">
      <x:c r="A8" s="2" t="str">
        <x:v>TRT140427F13</x:v>
      </x:c>
      <x:c r="B8" s="2" t="str">
        <x:v>USD</x:v>
      </x:c>
      <x:c r="C8" s="5" t="n">
        <x:v>46127</x:v>
      </x:c>
      <x:c r="D8" s="5" t="n">
        <x:v>46491</x:v>
      </x:c>
      <x:c r="E8" s="17" t="n">
        <x:v>0.0223</x:v>
      </x:c>
      <x:c r="F8" s="2" t="n">
        <x:v>6</x:v>
      </x:c>
      <x:c r="G8" s="2" t="n">
        <x:v>2</x:v>
      </x:c>
      <x:c r="H8" s="2" t="str">
        <x:v>HMB_20260413</x:v>
      </x:c>
      <x:c r="I8" s="17" t="n">
        <x:f>IF(AND(ISNUMBER(E8),E8&gt;=0),E8,"Missing rate")</x:f>
        <x:v>0.0223</x:v>
      </x:c>
      <x:c r="J8" s="2"/>
      <x:c r="K8" s="2"/>
    </x:row>
    <x:row r="9" ht="23" customHeight="1">
      <x:c r="A9" s="2" t="str">
        <x:v>TRT200827F11</x:v>
      </x:c>
      <x:c r="B9" s="2" t="str">
        <x:v>USD</x:v>
      </x:c>
      <x:c r="C9" s="5" t="n">
        <x:v>46255</x:v>
      </x:c>
      <x:c r="D9" s="5" t="n">
        <x:v>46619</x:v>
      </x:c>
      <x:c r="E9" s="17" t="n">
        <x:v>0.0272</x:v>
      </x:c>
      <x:c r="F9" s="2" t="n">
        <x:v>6</x:v>
      </x:c>
      <x:c r="G9" s="2" t="n">
        <x:v>2</x:v>
      </x:c>
      <x:c r="H9" s="2" t="str">
        <x:v>HMB_20260819</x:v>
      </x:c>
      <x:c r="I9" s="17" t="n">
        <x:f>IF(AND(ISNUMBER(E9),E9&gt;=0),E9,"Missing rate")</x:f>
        <x:v>0.0272</x:v>
      </x:c>
      <x:c r="J9" s="2"/>
      <x:c r="K9" s="2"/>
    </x:row>
    <x:row r="10" ht="23" customHeight="1">
      <x:c r="A10" s="2" t="str">
        <x:v>TRT061027F15</x:v>
      </x:c>
      <x:c r="B10" s="2" t="str">
        <x:v>USD</x:v>
      </x:c>
      <x:c r="C10" s="5" t="n">
        <x:v>46302</x:v>
      </x:c>
      <x:c r="D10" s="5" t="n">
        <x:v>46666</x:v>
      </x:c>
      <x:c r="E10" s="17" t="n">
        <x:v>0.0295</x:v>
      </x:c>
      <x:c r="F10" s="2" t="n">
        <x:v>6</x:v>
      </x:c>
      <x:c r="G10" s="2" t="n">
        <x:v>2</x:v>
      </x:c>
      <x:c r="H10" s="2" t="str">
        <x:v>HMB_20261005</x:v>
      </x:c>
      <x:c r="I10" s="17" t="n">
        <x:f>IF(AND(ISNUMBER(E10),E10&gt;=0),E10,"Missing rate")</x:f>
        <x:v>0.0295</x:v>
      </x:c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2" customHeight="1">
      <x:c r="A14" s="9" t="str">
        <x:v>Source ID</x:v>
      </x:c>
      <x:c r="B14" s="9" t="str">
        <x:v>Publication date</x:v>
      </x:c>
      <x:c r="C14" s="9" t="str">
        <x:v>Access date</x:v>
      </x:c>
      <x:c r="D14" s="9" t="str">
        <x:v>Page</x:v>
      </x:c>
      <x:c r="E14" s="9" t="str">
        <x:v>Official document URL</x:v>
      </x:c>
      <x:c r="F14" s="2"/>
      <x:c r="G14" s="2"/>
      <x:c r="H14" s="2"/>
      <x:c r="I14" s="2"/>
      <x:c r="J14" s="2"/>
      <x:c r="K14" s="2"/>
    </x:row>
    <x:row r="15" ht="64" customHeight="1">
      <x:c r="A15" s="2" t="str">
        <x:v>HMB_20260511</x:v>
      </x:c>
      <x:c r="B15" s="5" t="n">
        <x:v>46153</x:v>
      </x:c>
      <x:c r="C15" s="5" t="n">
        <x:v>46317</x:v>
      </x:c>
      <x:c r="D15" s="2" t="n">
        <x:v>1</x:v>
      </x:c>
      <x:c r="E15" s="18" t="str">
        <x:v>https://ms.hmb.gov.tr/uploads/2026/05/110526-ABD-Dolari-cinsi-DIBS-Kira-Sertifikasi-0a48964a698fb6f8.pdf</x:v>
      </x:c>
      <x:c r="F15" s="2"/>
      <x:c r="G15" s="2"/>
      <x:c r="H15" s="2"/>
      <x:c r="I15" s="2"/>
      <x:c r="J15" s="2"/>
      <x:c r="K15" s="2"/>
    </x:row>
    <x:row r="16" ht="64" customHeight="1">
      <x:c r="A16" s="2" t="str">
        <x:v>HMB_20260413</x:v>
      </x:c>
      <x:c r="B16" s="5" t="n">
        <x:v>46125</x:v>
      </x:c>
      <x:c r="C16" s="5" t="n">
        <x:v>46317</x:v>
      </x:c>
      <x:c r="D16" s="2" t="n">
        <x:v>1</x:v>
      </x:c>
      <x:c r="E16" s="18" t="str">
        <x:v>https://ms.hmb.gov.tr/uploads/2026/04/140426-ABD-Dolari-cinsi-DIBS-274af14c0612bd0e.pdf</x:v>
      </x:c>
      <x:c r="F16" s="2"/>
      <x:c r="G16" s="2"/>
      <x:c r="H16" s="2"/>
      <x:c r="I16" s="2"/>
      <x:c r="J16" s="2"/>
      <x:c r="K16" s="2"/>
    </x:row>
    <x:row r="17" ht="64" customHeight="1">
      <x:c r="A17" s="2" t="str">
        <x:v>HMB_20260819</x:v>
      </x:c>
      <x:c r="B17" s="5" t="n">
        <x:v>46253</x:v>
      </x:c>
      <x:c r="C17" s="5" t="n">
        <x:v>46317</x:v>
      </x:c>
      <x:c r="D17" s="2" t="n">
        <x:v>1</x:v>
      </x:c>
      <x:c r="E17" s="18" t="str">
        <x:v>https://ms.hmb.gov.tr/uploads/2026/08/190826-ABD-Dolari-cinsi-DIBS-Kira-Sertifikasi-bbc387d22de5d984.pdf</x:v>
      </x:c>
      <x:c r="F17" s="2"/>
      <x:c r="G17" s="2"/>
      <x:c r="H17" s="2"/>
      <x:c r="I17" s="2"/>
      <x:c r="J17" s="2"/>
      <x:c r="K17" s="2"/>
    </x:row>
    <x:row r="18" ht="64" customHeight="1">
      <x:c r="A18" s="2" t="str">
        <x:v>HMB_20261005</x:v>
      </x:c>
      <x:c r="B18" s="5" t="n">
        <x:v>46300</x:v>
      </x:c>
      <x:c r="C18" s="5" t="n">
        <x:v>46317</x:v>
      </x:c>
      <x:c r="D18" s="2" t="n">
        <x:v>1</x:v>
      </x:c>
      <x:c r="E18" s="18" t="str">
        <x:v>https://ms.hmb.gov.tr/uploads/2026/10/061027-ABD-Dolari-cinsi-DIBS-Kira-Sertifikasi-683a82c746d36ef2.pdf</x:v>
      </x:c>
      <x:c r="F18" s="2"/>
      <x:c r="G18" s="2"/>
      <x:c r="H18" s="2"/>
      <x:c r="I18" s="2"/>
      <x:c r="J18" s="2"/>
      <x:c r="K18" s="2"/>
    </x:row>
    <x:row r="19" ht="64" customHeight="1">
      <x:c r="A19" s="2" t="str">
        <x:v>HMB_20260605</x:v>
      </x:c>
      <x:c r="B19" s="5" t="n">
        <x:v>46178</x:v>
      </x:c>
      <x:c r="C19" s="5" t="n">
        <x:v>46317</x:v>
      </x:c>
      <x:c r="D19" s="2" t="n">
        <x:v>1</x:v>
      </x:c>
      <x:c r="E19" s="18" t="str">
        <x:v>https://ms.hmb.gov.tr/uploads/2026/06/050626-ABD-Dolari-cinsi-DIBS-Kira-Sertifikasi-7f283325716cfea0.pdf</x:v>
      </x:c>
      <x:c r="F19" s="2"/>
      <x:c r="G19" s="2"/>
      <x:c r="H19" s="2"/>
      <x:c r="I19" s="2"/>
      <x:c r="J19" s="2"/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 t="str">
        <x:v>USD fixed-coupon Turkish domestic government bonds. Not Eurobonds or sukuk.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 t="str">
        <x:v>Official PDFs are linked, not redistributed. Terms were manually verified.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2.779999732971191" hidden="0" customWidth="1"/>
    <x:col min="3" max="3" width="12.779999732971191" hidden="0" customWidth="1"/>
    <x:col min="4" max="4" width="35.560001373291016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Calculation and source checks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9" t="str">
        <x:v>ISIN</x:v>
      </x:c>
      <x:c r="B5" s="9" t="str">
        <x:v>Coupon count difference</x:v>
      </x:c>
      <x:c r="C5" s="9" t="str">
        <x:v>Principal difference USD</x:v>
      </x:c>
      <x:c r="D5" s="9" t="str">
        <x:v>Explanation</x:v>
      </x:c>
      <x:c r="E5" s="2"/>
      <x:c r="F5" s="2"/>
      <x:c r="G5" s="2"/>
      <x:c r="H5" s="2"/>
      <x:c r="I5" s="2"/>
      <x:c r="J5" s="2"/>
      <x:c r="K5" s="2"/>
    </x:row>
    <x:row r="6" ht="23" customHeight="1">
      <x:c r="A6" s="2" t="str">
        <x:v>TRT100528F15</x:v>
      </x:c>
      <x:c r="B6" s="2" t="n">
        <x:f>COUNTIFS('Payment_Schedule'!$A$8:$A$19,A6)-'Source_Data'!G6</x:f>
        <x:v>0</x:v>
      </x:c>
      <x:c r="C6" s="32" t="n">
        <x:f>IF(ISNUMBER('Assumptions'!C8),SUMIFS('Payment_Schedule'!$H$8:$H$19,'Payment_Schedule'!$A$8:$A$19,A6)-'Assumptions'!C8,"n.a.")</x:f>
        <x:v>0</x:v>
      </x:c>
      <x:c r="D6" s="2" t="str">
        <x:v>A valid result has zero difference.</x:v>
      </x:c>
      <x:c r="E6" s="2"/>
      <x:c r="F6" s="2"/>
      <x:c r="G6" s="2"/>
      <x:c r="H6" s="2"/>
      <x:c r="I6" s="2"/>
      <x:c r="J6" s="2"/>
      <x:c r="K6" s="2"/>
    </x:row>
    <x:row r="7" ht="23" customHeight="1">
      <x:c r="A7" s="2" t="str">
        <x:v>TRT090627F18</x:v>
      </x:c>
      <x:c r="B7" s="2" t="n">
        <x:f>COUNTIFS('Payment_Schedule'!$A$8:$A$19,A7)-'Source_Data'!G7</x:f>
        <x:v>0</x:v>
      </x:c>
      <x:c r="C7" s="32" t="n">
        <x:f>IF(ISNUMBER('Assumptions'!C9),SUMIFS('Payment_Schedule'!$H$8:$H$19,'Payment_Schedule'!$A$8:$A$19,A7)-'Assumptions'!C9,"n.a.")</x:f>
        <x:v>0</x:v>
      </x:c>
      <x:c r="D7" s="2" t="str">
        <x:v>A valid result has zero difference.</x:v>
      </x:c>
      <x:c r="E7" s="2"/>
      <x:c r="F7" s="2"/>
      <x:c r="G7" s="2"/>
      <x:c r="H7" s="2"/>
      <x:c r="I7" s="2"/>
      <x:c r="J7" s="2"/>
      <x:c r="K7" s="2"/>
    </x:row>
    <x:row r="8" ht="23" customHeight="1">
      <x:c r="A8" s="2" t="str">
        <x:v>TRT140427F13</x:v>
      </x:c>
      <x:c r="B8" s="2" t="n">
        <x:f>COUNTIFS('Payment_Schedule'!$A$8:$A$19,A8)-'Source_Data'!G8</x:f>
        <x:v>0</x:v>
      </x:c>
      <x:c r="C8" s="32" t="n">
        <x:f>IF(ISNUMBER('Assumptions'!C10),SUMIFS('Payment_Schedule'!$H$8:$H$19,'Payment_Schedule'!$A$8:$A$19,A8)-'Assumptions'!C10,"n.a.")</x:f>
        <x:v>0</x:v>
      </x:c>
      <x:c r="D8" s="2" t="str">
        <x:v>A valid result has zero difference.</x:v>
      </x:c>
      <x:c r="E8" s="2"/>
      <x:c r="F8" s="2"/>
      <x:c r="G8" s="2"/>
      <x:c r="H8" s="2"/>
      <x:c r="I8" s="2"/>
      <x:c r="J8" s="2"/>
      <x:c r="K8" s="2"/>
    </x:row>
    <x:row r="9" ht="23" customHeight="1">
      <x:c r="A9" s="2" t="str">
        <x:v>TRT200827F11</x:v>
      </x:c>
      <x:c r="B9" s="2" t="n">
        <x:f>COUNTIFS('Payment_Schedule'!$A$8:$A$19,A9)-'Source_Data'!G9</x:f>
        <x:v>0</x:v>
      </x:c>
      <x:c r="C9" s="32" t="n">
        <x:f>IF(ISNUMBER('Assumptions'!C11),SUMIFS('Payment_Schedule'!$H$8:$H$19,'Payment_Schedule'!$A$8:$A$19,A9)-'Assumptions'!C11,"n.a.")</x:f>
        <x:v>0</x:v>
      </x:c>
      <x:c r="D9" s="2" t="str">
        <x:v>A valid result has zero difference.</x:v>
      </x:c>
      <x:c r="E9" s="2"/>
      <x:c r="F9" s="2"/>
      <x:c r="G9" s="2"/>
      <x:c r="H9" s="2"/>
      <x:c r="I9" s="2"/>
      <x:c r="J9" s="2"/>
      <x:c r="K9" s="2"/>
    </x:row>
    <x:row r="10" ht="23" customHeight="1">
      <x:c r="A10" s="2" t="str">
        <x:v>TRT061027F15</x:v>
      </x:c>
      <x:c r="B10" s="2" t="n">
        <x:f>COUNTIFS('Payment_Schedule'!$A$8:$A$19,A10)-'Source_Data'!G10</x:f>
        <x:v>0</x:v>
      </x:c>
      <x:c r="C10" s="32" t="n">
        <x:f>IF(ISNUMBER('Assumptions'!C12),SUMIFS('Payment_Schedule'!$H$8:$H$19,'Payment_Schedule'!$A$8:$A$19,A10)-'Assumptions'!C12,"n.a.")</x:f>
        <x:v>0</x:v>
      </x:c>
      <x:c r="D10" s="2" t="str">
        <x:v>A valid result has zero difference.</x:v>
      </x:c>
      <x:c r="E10" s="2"/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3" customHeight="1">
      <x:c r="A13" s="2" t="str">
        <x:v>Python source-validation issue count</x:v>
      </x:c>
      <x:c r="B13" s="2"/>
      <x:c r="C13" s="2"/>
      <x:c r="D13" s="2" t="n">
        <x:v>0</x:v>
      </x:c>
      <x:c r="E13" s="2"/>
      <x:c r="F13" s="2"/>
      <x:c r="G13" s="2"/>
      <x:c r="H13" s="2"/>
      <x:c r="I13" s="2"/>
      <x:c r="J13" s="2"/>
      <x:c r="K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3" customHeight="1">
      <x:c r="A15" s="2" t="str">
        <x:v>Deliberately invalid examples below are separate from the official source data.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32" customHeight="1">
      <x:c r="A17" s="9" t="str">
        <x:v>Demo</x:v>
      </x:c>
      <x:c r="B17" s="9" t="str">
        <x:v>Expected rule</x:v>
      </x:c>
      <x:c r="C17" s="9" t="str">
        <x:v>Automatically detected</x:v>
      </x:c>
      <x:c r="D17" s="2"/>
      <x:c r="E17" s="2"/>
      <x:c r="F17" s="2"/>
      <x:c r="G17" s="2"/>
      <x:c r="H17" s="2"/>
      <x:c r="I17" s="2"/>
      <x:c r="J17" s="2"/>
      <x:c r="K17" s="2"/>
    </x:row>
    <x:row r="18" ht="23" customHeight="1">
      <x:c r="A18" s="2" t="str">
        <x:v>DQ01</x:v>
      </x:c>
      <x:c r="B18" s="2" t="str">
        <x:v>R01</x:v>
      </x:c>
      <x:c r="C18" s="2" t="str">
        <x:v>Yes</x:v>
      </x:c>
      <x:c r="D18" s="2"/>
      <x:c r="E18" s="2"/>
      <x:c r="F18" s="2"/>
      <x:c r="G18" s="2"/>
      <x:c r="H18" s="2"/>
      <x:c r="I18" s="2"/>
      <x:c r="J18" s="2"/>
      <x:c r="K18" s="2"/>
    </x:row>
    <x:row r="19" ht="23" customHeight="1">
      <x:c r="A19" s="2" t="str">
        <x:v>DQ02</x:v>
      </x:c>
      <x:c r="B19" s="2" t="str">
        <x:v>R02</x:v>
      </x:c>
      <x:c r="C19" s="2" t="str">
        <x:v>Yes</x:v>
      </x:c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2" t="str">
        <x:v>DQ03</x:v>
      </x:c>
      <x:c r="B20" s="2" t="str">
        <x:v>R03</x:v>
      </x:c>
      <x:c r="C20" s="2" t="str">
        <x:v>Yes</x:v>
      </x:c>
      <x:c r="D20" s="2"/>
      <x:c r="E20" s="2"/>
      <x:c r="F20" s="2"/>
      <x:c r="G20" s="2"/>
      <x:c r="H20" s="2"/>
      <x:c r="I20" s="2"/>
      <x:c r="J20" s="2"/>
      <x:c r="K20" s="2"/>
    </x:row>
    <x:row r="21" ht="23" customHeight="1">
      <x:c r="A21" s="2" t="str">
        <x:v>DQ04</x:v>
      </x:c>
      <x:c r="B21" s="2" t="str">
        <x:v>R04</x:v>
      </x:c>
      <x:c r="C21" s="2" t="str">
        <x:v>Yes</x:v>
      </x:c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 t="str">
        <x:v>DQ05</x:v>
      </x:c>
      <x:c r="B22" s="2" t="str">
        <x:v>R05</x:v>
      </x:c>
      <x:c r="C22" s="2" t="str">
        <x:v>Yes</x:v>
      </x:c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 t="str">
        <x:v>DQ06</x:v>
      </x:c>
      <x:c r="B23" s="2" t="str">
        <x:v>R06</x:v>
      </x:c>
      <x:c r="C23" s="2" t="str">
        <x:v>Yes</x:v>
      </x:c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 t="str">
        <x:v>DQ07</x:v>
      </x:c>
      <x:c r="B24" s="2" t="str">
        <x:v>R07</x:v>
      </x:c>
      <x:c r="C24" s="2" t="str">
        <x:v>Yes</x:v>
      </x:c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 t="str">
        <x:v>DQ08</x:v>
      </x:c>
      <x:c r="B25" s="2" t="str">
        <x:v>R08</x:v>
      </x:c>
      <x:c r="C25" s="2" t="str">
        <x:v>Yes</x:v>
      </x:c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 t="str">
        <x:v>DQ09</x:v>
      </x:c>
      <x:c r="B26" s="2" t="str">
        <x:v>R09</x:v>
      </x:c>
      <x:c r="C26" s="2" t="str">
        <x:v>Yes</x:v>
      </x:c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 t="str">
        <x:v>Python issues/demos are a saved snapshot. Excel reconciliation differences recalculate.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</x:sheetData>
  <x:conditionalFormatting sqref="B6:C10">
    <x:cfRule type="cellIs" dxfId="1" priority="1" operator="notEqual">
      <x:formula>0</x:formula>
    </x:cfRule>
  </x:conditionalFormatting>
  <x:pageMargins left="0.7" right="0.7" top="0.75" bottom="0.75" header="0.3" footer="0.3"/>
</x:worksheet>
</file>